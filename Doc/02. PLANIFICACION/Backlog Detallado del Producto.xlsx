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e\Downloads\"/>
    </mc:Choice>
  </mc:AlternateContent>
  <xr:revisionPtr revIDLastSave="0" documentId="13_ncr:1_{DFBEA184-802D-4AC6-BF14-DC3056086B06}" xr6:coauthVersionLast="47" xr6:coauthVersionMax="47" xr10:uidLastSave="{00000000-0000-0000-0000-000000000000}"/>
  <bookViews>
    <workbookView xWindow="-108" yWindow="-108" windowWidth="23256" windowHeight="13176" tabRatio="522" xr2:uid="{00000000-000D-0000-FFFF-FFFF00000000}"/>
  </bookViews>
  <sheets>
    <sheet name="Backlog del Producto" sheetId="8" r:id="rId1"/>
    <sheet name="Sprints" sheetId="7" r:id="rId2"/>
  </sheets>
  <definedNames>
    <definedName name="_xlnm.Print_Area" localSheetId="0">'Backlog del Producto'!$B:$N</definedName>
    <definedName name="AverageSpeedLastEight">OFFSET(#REF!,1,0,#REF!,1)</definedName>
    <definedName name="AverageSpeedRealized">OFFSET(#REF!,1,0,#REF!,1)</definedName>
    <definedName name="AverageSpeedWorstThree">OFFSET(#REF!,1,0,#REF!,1)</definedName>
    <definedName name="ColBottomCurrentScope">OFFSET(#REF!,1,0,#REF!,1)</definedName>
    <definedName name="ColTopRemainingWork">OFFSET(#REF!,1,0,#REF!,1)</definedName>
    <definedName name="DoneDays">#REF!</definedName>
    <definedName name="ImplementationDays">#REF!</definedName>
    <definedName name="LastEight">IF(#REF!&gt;8,OFFSET(#REF!,#REF!-7,0,8,1),OFFSET(#REF!,1,0,#REF!-1,1))</definedName>
    <definedName name="LastPlanned">IF(OFFSET(#REF!,1,0,1,1)="",1,OFFSET(#REF!,#REF!,0,1,1))</definedName>
    <definedName name="LastRealized">IF(OFFSET(#REF!,1,0,1,1)="",1,OFFSET(#REF!,#REF!,0,1,1))</definedName>
    <definedName name="PBCurrentBottom">OFFSET(#REF!,1,0,#REF!,1)</definedName>
    <definedName name="PBTrend">OFFSET(#REF!,1,0,#REF!,1)</definedName>
    <definedName name="PlannedSpeed">OFFSET(#REF!,1,0,#REF!,1)</definedName>
    <definedName name="ProductBacklog">'Backlog del Producto'!$B$5:$N$190</definedName>
    <definedName name="RealizedSpeed">OFFSET(#REF!,1,0,#REF!,1)</definedName>
    <definedName name="Sprint">'Backlog del Producto'!$L$7:$L$190</definedName>
    <definedName name="SprintCount">#REF!</definedName>
    <definedName name="SprintsInTrend">#REF!</definedName>
    <definedName name="SprintTasks">#REF!</definedName>
    <definedName name="Status">'Backlog del Producto'!$M$7:$M$190</definedName>
    <definedName name="StoryName">'Backlog del Producto'!#REF!</definedName>
    <definedName name="TaskRows">#REF!</definedName>
    <definedName name="TaskStatus">#REF!</definedName>
    <definedName name="TaskStoryID">#REF!</definedName>
    <definedName name="TotalEffort">#REF!</definedName>
    <definedName name="TrendDays">#REF!</definedName>
    <definedName name="TrendOffset">#REF!</definedName>
    <definedName name="TrendSprintCount">#REF!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8" i="7" l="1"/>
  <c r="G9" i="7"/>
  <c r="G10" i="7" s="1"/>
  <c r="G11" i="7" s="1"/>
  <c r="G12" i="7" s="1"/>
  <c r="G13" i="7" s="1"/>
  <c r="G14" i="7" s="1"/>
  <c r="G15" i="7" s="1"/>
  <c r="G16" i="7" s="1"/>
  <c r="G17" i="7" s="1"/>
  <c r="F3" i="7"/>
  <c r="F4" i="7"/>
  <c r="F5" i="7"/>
  <c r="F6" i="7"/>
  <c r="F7" i="7"/>
  <c r="C4" i="7"/>
  <c r="C5" i="7" s="1"/>
  <c r="C9" i="7"/>
  <c r="B9" i="7" s="1"/>
  <c r="F9" i="7" s="1"/>
  <c r="E5" i="7" l="1"/>
  <c r="C6" i="7"/>
  <c r="E4" i="7"/>
  <c r="E9" i="7"/>
  <c r="C10" i="7"/>
  <c r="C7" i="7" l="1"/>
  <c r="E7" i="7" s="1"/>
  <c r="E6" i="7"/>
  <c r="B10" i="7"/>
  <c r="F10" i="7" s="1"/>
  <c r="C11" i="7"/>
  <c r="E10" i="7"/>
  <c r="B11" i="7" l="1"/>
  <c r="F11" i="7" s="1"/>
  <c r="E11" i="7"/>
  <c r="C12" i="7"/>
  <c r="B12" i="7" l="1"/>
  <c r="F12" i="7" s="1"/>
  <c r="E12" i="7"/>
  <c r="C13" i="7"/>
  <c r="B13" i="7" l="1"/>
  <c r="F13" i="7" s="1"/>
  <c r="C14" i="7"/>
  <c r="E13" i="7"/>
  <c r="B14" i="7" l="1"/>
  <c r="F14" i="7" s="1"/>
  <c r="C15" i="7"/>
  <c r="E14" i="7"/>
  <c r="B15" i="7" l="1"/>
  <c r="F15" i="7" s="1"/>
  <c r="E15" i="7"/>
  <c r="C16" i="7"/>
  <c r="B16" i="7" l="1"/>
  <c r="F16" i="7" s="1"/>
  <c r="C17" i="7"/>
  <c r="E16" i="7"/>
  <c r="B17" i="7" l="1"/>
  <c r="F17" i="7" s="1"/>
  <c r="E1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Petri Heiramo</author>
    <author>Hector Bravo Consultor GE</author>
    <author>Hector Bravo</author>
  </authors>
  <commentList>
    <comment ref="B6" authorId="0" shapeId="0" xr:uid="{00000000-0006-0000-0000-000001000000}">
      <text>
        <r>
          <rPr>
            <sz val="8"/>
            <color indexed="81"/>
            <rFont val="Tahoma"/>
            <family val="2"/>
          </rPr>
          <t>El ID único asignado a la Historia de Usuario.  Este numero no debe cambiar una vez asignado.</t>
        </r>
      </text>
    </comment>
    <comment ref="F6" authorId="1" shapeId="0" xr:uid="{00000000-0006-0000-0000-000002000000}">
      <text>
        <r>
          <rPr>
            <sz val="9"/>
            <color indexed="81"/>
            <rFont val="Tahoma"/>
            <family val="2"/>
          </rPr>
          <t xml:space="preserve">El ID único asignado a la tarea
</t>
        </r>
      </text>
    </comment>
    <comment ref="I6" authorId="0" shapeId="0" xr:uid="{00000000-0006-0000-0000-000003000000}">
      <text>
        <r>
          <rPr>
            <sz val="8"/>
            <color indexed="81"/>
            <rFont val="Tahoma"/>
            <family val="2"/>
          </rPr>
          <t>Debe asignarle prioridad a cada Historia, pero tenga en mente que la prioridad no es siempre el orden de implementación, mas bien la prioridad para el negocio.
Rango: 1-10  (donde 1 es lo mas alto)</t>
        </r>
      </text>
    </comment>
    <comment ref="J6" authorId="0" shapeId="0" xr:uid="{00000000-0006-0000-0000-000004000000}">
      <text>
        <r>
          <rPr>
            <sz val="8"/>
            <color indexed="81"/>
            <rFont val="Tahoma"/>
            <family val="2"/>
          </rPr>
          <t xml:space="preserve">Representa el esfuerzo que conlleva realizar la Historia de Usuario.
En la metodología tradicional Scrum se deben utilizar Story Points.
Sin embargo, siempre deberás traducir el esfuerzo a hrs, dias, etc.
</t>
        </r>
      </text>
    </comment>
    <comment ref="K6" authorId="2" shapeId="0" xr:uid="{00000000-0006-0000-0000-000005000000}">
      <text>
        <r>
          <rPr>
            <sz val="9"/>
            <color indexed="81"/>
            <rFont val="Tahoma"/>
            <family val="2"/>
          </rPr>
          <t xml:space="preserve">Indicar el ID de la Epica o el ID de la Historia que debe ser completada antes
</t>
        </r>
      </text>
    </comment>
    <comment ref="L6" authorId="0" shapeId="0" xr:uid="{00000000-0006-0000-0000-000006000000}">
      <text>
        <r>
          <rPr>
            <sz val="8"/>
            <color indexed="81"/>
            <rFont val="Tahoma"/>
            <family val="2"/>
          </rPr>
          <t>Esta columna indica en que Sprint será desarrollada la Historia de Usuario.
Se debe crear un plan de liberación mediante la asignación de historias de usuario a los sprints planificados. 
Si hay más historias en la Lista que en el Plan, deje las historias restantes sin asginar.</t>
        </r>
      </text>
    </comment>
    <comment ref="M6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>Use los siguientes estados:</t>
        </r>
        <r>
          <rPr>
            <sz val="8"/>
            <color indexed="81"/>
            <rFont val="Tahoma"/>
            <family val="2"/>
          </rPr>
          <t xml:space="preserve">
Por Hacer
En Progreso
Terminado
Eliminado
Esta hoja usa los estados anteriores en el formato y cálculos de fórmulas.</t>
        </r>
      </text>
    </comment>
  </commentList>
</comments>
</file>

<file path=xl/sharedStrings.xml><?xml version="1.0" encoding="utf-8"?>
<sst xmlns="http://schemas.openxmlformats.org/spreadsheetml/2006/main" count="340" uniqueCount="142">
  <si>
    <t>Sprint</t>
  </si>
  <si>
    <t>Estado</t>
  </si>
  <si>
    <t>Prioridad</t>
  </si>
  <si>
    <t>Comentarios</t>
  </si>
  <si>
    <t>Inicio</t>
  </si>
  <si>
    <t>Días</t>
  </si>
  <si>
    <t>Final</t>
  </si>
  <si>
    <t>Fecha Liberación</t>
  </si>
  <si>
    <t>Meta</t>
  </si>
  <si>
    <t>Terminado</t>
  </si>
  <si>
    <t>En Progreso</t>
  </si>
  <si>
    <t>Por Hacer</t>
  </si>
  <si>
    <t>Eliminado</t>
  </si>
  <si>
    <t>Planeado</t>
  </si>
  <si>
    <t>Historias sin Asignar</t>
  </si>
  <si>
    <t>Nombre del Proyecto:</t>
  </si>
  <si>
    <t>Estimación</t>
  </si>
  <si>
    <t>Criterios de Aceptación</t>
  </si>
  <si>
    <t>ID Historia de Usuario</t>
  </si>
  <si>
    <t>Dueño del Producto</t>
  </si>
  <si>
    <t>Como (Rol)</t>
  </si>
  <si>
    <t>Deseo…</t>
  </si>
  <si>
    <t>Para…</t>
  </si>
  <si>
    <t>HISTORIA DE USUARIO</t>
  </si>
  <si>
    <t>Dependencias</t>
  </si>
  <si>
    <t>Backlog Detallado del Producto</t>
  </si>
  <si>
    <t>Descrición de la Tarea</t>
  </si>
  <si>
    <t>TAREA</t>
  </si>
  <si>
    <t>ID Tarea</t>
  </si>
  <si>
    <t>OTROS DATOS DE LA HISTORIA DE USUARIO O TAREA</t>
  </si>
  <si>
    <t>Daniel Gamarra</t>
  </si>
  <si>
    <t>Sistema web de generación óptima de horarios académicos en Huancayo, 2026</t>
  </si>
  <si>
    <t>HU01</t>
  </si>
  <si>
    <t>Usuario</t>
  </si>
  <si>
    <t>Iniciar sesion</t>
  </si>
  <si>
    <t>Acceder al sistema según mi rol</t>
  </si>
  <si>
    <t>Diseñar interfaz de login</t>
  </si>
  <si>
    <t>Dado que el usuario ingresa credenciale s válidas, cuando inicia sesión, entonces accede al sistema.</t>
  </si>
  <si>
    <t>Validar campos de login</t>
  </si>
  <si>
    <t>Implementar autenticación</t>
  </si>
  <si>
    <t>Mostrar errores</t>
  </si>
  <si>
    <t>Dado credenciale s inválidas, cuando intenta iniciar sesión, entonces se muestra error.</t>
  </si>
  <si>
    <t>HU02</t>
  </si>
  <si>
    <t>HU03</t>
  </si>
  <si>
    <t>HU04</t>
  </si>
  <si>
    <t>HU05</t>
  </si>
  <si>
    <t>Administrador</t>
  </si>
  <si>
    <t>Gestionar roles</t>
  </si>
  <si>
    <t>Controlar accesos</t>
  </si>
  <si>
    <t>Crear vista de roles</t>
  </si>
  <si>
    <t>CRUD de roles</t>
  </si>
  <si>
    <t>Asignar roles</t>
  </si>
  <si>
    <t>Dado un rol, cuando se consulta, entonces muestra permisos asociados</t>
  </si>
  <si>
    <t>Dado un usuario, cuando asigno rol, entonces se guarda correctamente.</t>
  </si>
  <si>
    <t>Registrar docentes</t>
  </si>
  <si>
    <t>Asignarlos a cursos</t>
  </si>
  <si>
    <t>Formulario docente</t>
  </si>
  <si>
    <t>Validación de datos</t>
  </si>
  <si>
    <t>Guardar docente</t>
  </si>
  <si>
    <t>Dado datos válidos, cuando registro docente, entonces se almacena correctamente.</t>
  </si>
  <si>
    <t>Registrar cursos</t>
  </si>
  <si>
    <t>Planificar horarios</t>
  </si>
  <si>
    <t>Formulario cursos</t>
  </si>
  <si>
    <t>Validar duplicados</t>
  </si>
  <si>
    <t>Guardar curso</t>
  </si>
  <si>
    <t xml:space="preserve">Dado datos válidos, cuando registro curso, entonces se guarda. </t>
  </si>
  <si>
    <t>Registrar aulas</t>
  </si>
  <si>
    <t>Asignarlas a horarios</t>
  </si>
  <si>
    <t>Formulario de aulas</t>
  </si>
  <si>
    <t>Validar capacidad</t>
  </si>
  <si>
    <t>Guardar aula</t>
  </si>
  <si>
    <t>Dado aula válida cuando registro, entonces se guarda</t>
  </si>
  <si>
    <t>HU06</t>
  </si>
  <si>
    <t>Registrar estudiantes</t>
  </si>
  <si>
    <t>Asignar horarios</t>
  </si>
  <si>
    <t>Formulario estudiantes</t>
  </si>
  <si>
    <t>Validar datos</t>
  </si>
  <si>
    <t>Guardar estudiante</t>
  </si>
  <si>
    <t>Dado datos válidos, cuando registro estudiante, entonces se guarda</t>
  </si>
  <si>
    <t>HU07</t>
  </si>
  <si>
    <t>Validar restricciones</t>
  </si>
  <si>
    <t>Sistema</t>
  </si>
  <si>
    <t>Evitar conflictos</t>
  </si>
  <si>
    <t>Definir reglas</t>
  </si>
  <si>
    <t>Implementar validación</t>
  </si>
  <si>
    <t>Mostrar conflictos</t>
  </si>
  <si>
    <t>Dado restricciones, cuando se ejecuta validación, entonces detecta conflictos.</t>
  </si>
  <si>
    <t>HU08</t>
  </si>
  <si>
    <t>Generar horarios</t>
  </si>
  <si>
    <t>Ahorrar tiempo</t>
  </si>
  <si>
    <t>Diseñar algoritmo</t>
  </si>
  <si>
    <t>Mostrar horarios</t>
  </si>
  <si>
    <t xml:space="preserve">Dado datos completos, cuando genero horario, entonces crea horario válido. </t>
  </si>
  <si>
    <t>HU09</t>
  </si>
  <si>
    <t>Optimizar horarios</t>
  </si>
  <si>
    <t>Reducir tiempos muertos</t>
  </si>
  <si>
    <t>Definir criterios optimización</t>
  </si>
  <si>
    <t>Implementar algoritmo</t>
  </si>
  <si>
    <t>Evaluar resultados</t>
  </si>
  <si>
    <t>Dado horarios generados, cuando optimiza, entonces reduce huecos.</t>
  </si>
  <si>
    <t>Ver horario estudiante</t>
  </si>
  <si>
    <t>HU10</t>
  </si>
  <si>
    <t>Estudiante</t>
  </si>
  <si>
    <t>Organizarme</t>
  </si>
  <si>
    <t>Vista horario</t>
  </si>
  <si>
    <t>Consultar datos</t>
  </si>
  <si>
    <t>Dado usuario estudiante, cuando accede, entonces ve su horario</t>
  </si>
  <si>
    <t>Ver horario docente</t>
  </si>
  <si>
    <t>HU11</t>
  </si>
  <si>
    <t>Docente</t>
  </si>
  <si>
    <t>Gestionar clases</t>
  </si>
  <si>
    <t>Vista horario docente</t>
  </si>
  <si>
    <t>Dado docente, cuando consulta, entonces visualiza horario.</t>
  </si>
  <si>
    <t>HU12</t>
  </si>
  <si>
    <t>Ver todos los horarios</t>
  </si>
  <si>
    <t>Supervisar información</t>
  </si>
  <si>
    <t>Vista general horarios</t>
  </si>
  <si>
    <t>Implementar filtros</t>
  </si>
  <si>
    <t>Mostrar resultados</t>
  </si>
  <si>
    <t>Dado admin, cuando consulta, entonces ve todos los horarios.</t>
  </si>
  <si>
    <t>HU13</t>
  </si>
  <si>
    <t>Detectar conflictos</t>
  </si>
  <si>
    <t>Corregir errores</t>
  </si>
  <si>
    <t>Implementar detección</t>
  </si>
  <si>
    <t>Dado horarios, cuando analiza, entonces identifica conflictos</t>
  </si>
  <si>
    <t>HU14</t>
  </si>
  <si>
    <t>Editar horarios</t>
  </si>
  <si>
    <t>Ajustar manualmente</t>
  </si>
  <si>
    <t>Vista edición</t>
  </si>
  <si>
    <t>Guardar cambios</t>
  </si>
  <si>
    <t>Dado horario, cuando edito, entonces guarda cambios</t>
  </si>
  <si>
    <t>HU15</t>
  </si>
  <si>
    <t>Exportar PDF</t>
  </si>
  <si>
    <t>Compartir horario</t>
  </si>
  <si>
    <t>Generar PDF</t>
  </si>
  <si>
    <t>Botón exportar</t>
  </si>
  <si>
    <t>Dado horario, cuando exporto, entonces genera PDF.</t>
  </si>
  <si>
    <t>HU16</t>
  </si>
  <si>
    <t>Exportar Excel</t>
  </si>
  <si>
    <t>Analizar horario</t>
  </si>
  <si>
    <t>Generar Excel</t>
  </si>
  <si>
    <t xml:space="preserve">Dado horario, cuando exporto, entonces genera Excel.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</si>
</sst>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4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4"/>
      <name val="Arial"/>
      <family val="2"/>
    </font>
    <font>
      <sz val="9"/>
      <color indexed="81"/>
      <name val="Tahoma"/>
      <family val="2"/>
    </font>
    <font>
      <strike/>
      <sz val="10"/>
      <name val="Arial"/>
      <family val="2"/>
    </font>
    <font>
      <b/>
      <sz val="14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lightUp">
        <fgColor rgb="FFFF0000"/>
        <bgColor theme="0" tint="-4.9989318521683403E-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17" fontId="0" fillId="0" borderId="0" xfId="0" applyNumberFormat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6" fillId="0" borderId="0" xfId="0" applyFont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2" xfId="0" applyBorder="1"/>
    <xf numFmtId="0" fontId="0" fillId="0" borderId="3" xfId="0" applyNumberFormat="1" applyFill="1" applyBorder="1" applyAlignment="1">
      <alignment horizontal="left"/>
    </xf>
    <xf numFmtId="0" fontId="0" fillId="0" borderId="3" xfId="0" applyBorder="1"/>
    <xf numFmtId="0" fontId="0" fillId="2" borderId="1" xfId="0" applyNumberFormat="1" applyFill="1" applyBorder="1" applyAlignment="1">
      <alignment horizontal="center"/>
    </xf>
    <xf numFmtId="0" fontId="0" fillId="0" borderId="1" xfId="0" applyBorder="1"/>
    <xf numFmtId="14" fontId="0" fillId="2" borderId="1" xfId="0" applyNumberFormat="1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14" fontId="0" fillId="2" borderId="3" xfId="0" applyNumberFormat="1" applyFill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7" fillId="0" borderId="0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7" fillId="4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7" fillId="4" borderId="0" xfId="0" applyFont="1" applyFill="1" applyBorder="1" applyAlignment="1">
      <alignment vertical="center" wrapText="1"/>
    </xf>
    <xf numFmtId="14" fontId="0" fillId="7" borderId="1" xfId="0" applyNumberForma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/>
    </xf>
    <xf numFmtId="0" fontId="6" fillId="0" borderId="0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10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center" vertical="top"/>
    </xf>
    <xf numFmtId="0" fontId="1" fillId="8" borderId="4" xfId="0" applyFont="1" applyFill="1" applyBorder="1" applyAlignment="1">
      <alignment horizontal="center" vertical="top"/>
    </xf>
    <xf numFmtId="0" fontId="1" fillId="8" borderId="2" xfId="0" applyFont="1" applyFill="1" applyBorder="1" applyAlignment="1">
      <alignment horizontal="center" vertical="top"/>
    </xf>
    <xf numFmtId="0" fontId="1" fillId="8" borderId="3" xfId="0" applyFont="1" applyFill="1" applyBorder="1" applyAlignment="1">
      <alignment horizontal="center" vertical="top"/>
    </xf>
    <xf numFmtId="0" fontId="1" fillId="9" borderId="4" xfId="0" applyFont="1" applyFill="1" applyBorder="1" applyAlignment="1">
      <alignment horizontal="center" vertical="top" wrapText="1"/>
    </xf>
    <xf numFmtId="0" fontId="1" fillId="9" borderId="2" xfId="0" applyFont="1" applyFill="1" applyBorder="1" applyAlignment="1">
      <alignment horizontal="center" vertical="top" wrapText="1"/>
    </xf>
    <xf numFmtId="0" fontId="1" fillId="9" borderId="3" xfId="0" applyFont="1" applyFill="1" applyBorder="1" applyAlignment="1">
      <alignment horizontal="center" vertical="top" wrapText="1"/>
    </xf>
    <xf numFmtId="0" fontId="6" fillId="0" borderId="0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top" wrapText="1"/>
    </xf>
    <xf numFmtId="0" fontId="1" fillId="10" borderId="3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</cellXfs>
  <cellStyles count="1">
    <cellStyle name="Normal" xfId="0" builtinId="0"/>
  </cellStyles>
  <dxfs count="43"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ont>
        <b/>
        <i val="0"/>
        <condense val="0"/>
        <extend val="0"/>
      </font>
    </dxf>
    <dxf>
      <font>
        <condense val="0"/>
        <extend val="0"/>
        <color indexed="54"/>
      </font>
    </dxf>
    <dxf>
      <font>
        <condense val="0"/>
        <extend val="0"/>
        <color indexed="9"/>
      </font>
    </dxf>
    <dxf>
      <font>
        <b/>
        <i val="0"/>
        <condense val="0"/>
        <extend val="0"/>
      </font>
    </dxf>
    <dxf>
      <font>
        <condense val="0"/>
        <extend val="0"/>
        <color indexed="54"/>
      </font>
    </dxf>
    <dxf>
      <font>
        <b/>
        <i val="0"/>
        <condense val="0"/>
        <extend val="0"/>
      </font>
    </dxf>
    <dxf>
      <font>
        <condense val="0"/>
        <extend val="0"/>
        <color indexed="54"/>
      </font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 patternType="lightUp">
          <fgColor indexed="10"/>
          <bgColor indexed="65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B1:Q80"/>
  <sheetViews>
    <sheetView showGridLines="0" tabSelected="1" zoomScale="85" zoomScaleNormal="85" workbookViewId="0">
      <selection activeCell="B5" sqref="B5:E12"/>
    </sheetView>
  </sheetViews>
  <sheetFormatPr baseColWidth="10" defaultColWidth="9.109375" defaultRowHeight="13.2" x14ac:dyDescent="0.25"/>
  <cols>
    <col min="1" max="1" width="3.44140625" style="6" customWidth="1"/>
    <col min="2" max="2" width="12" style="5" customWidth="1"/>
    <col min="3" max="3" width="19.6640625" style="5" customWidth="1"/>
    <col min="4" max="4" width="48" style="5" customWidth="1"/>
    <col min="5" max="5" width="24.33203125" style="5" customWidth="1"/>
    <col min="6" max="6" width="11.33203125" style="5" customWidth="1"/>
    <col min="7" max="7" width="56.44140625" style="4" customWidth="1"/>
    <col min="8" max="8" width="53.109375" style="4" customWidth="1"/>
    <col min="9" max="9" width="10.33203125" style="5" customWidth="1"/>
    <col min="10" max="11" width="15" style="5" customWidth="1"/>
    <col min="12" max="12" width="11.44140625" style="5" customWidth="1"/>
    <col min="13" max="13" width="12.5546875" style="5" customWidth="1"/>
    <col min="14" max="14" width="39.5546875" style="4" customWidth="1"/>
    <col min="15" max="15" width="6" style="6" customWidth="1"/>
    <col min="16" max="16384" width="9.109375" style="6"/>
  </cols>
  <sheetData>
    <row r="1" spans="2:17" ht="17.399999999999999" x14ac:dyDescent="0.25">
      <c r="B1" s="31" t="s">
        <v>25</v>
      </c>
      <c r="C1" s="31"/>
      <c r="D1" s="31"/>
      <c r="E1" s="31"/>
      <c r="P1" s="12"/>
      <c r="Q1" s="10" t="s">
        <v>11</v>
      </c>
    </row>
    <row r="2" spans="2:17" customFormat="1" ht="18" customHeight="1" x14ac:dyDescent="0.25">
      <c r="B2" s="50" t="s">
        <v>15</v>
      </c>
      <c r="C2" s="50"/>
      <c r="D2" s="51" t="s">
        <v>31</v>
      </c>
      <c r="E2" s="51"/>
      <c r="F2" s="39"/>
      <c r="G2" s="39"/>
      <c r="H2" s="34"/>
      <c r="I2" s="34"/>
      <c r="J2" s="34"/>
      <c r="K2" s="34"/>
      <c r="L2" s="34"/>
      <c r="M2" s="30"/>
      <c r="N2" s="24"/>
      <c r="O2" s="24"/>
      <c r="P2" s="13"/>
      <c r="Q2" s="10" t="s">
        <v>10</v>
      </c>
    </row>
    <row r="3" spans="2:17" customFormat="1" ht="18" customHeight="1" x14ac:dyDescent="0.25">
      <c r="B3" s="50" t="s">
        <v>19</v>
      </c>
      <c r="C3" s="50"/>
      <c r="D3" s="51" t="s">
        <v>30</v>
      </c>
      <c r="E3" s="51"/>
      <c r="F3" s="39"/>
      <c r="G3" s="39"/>
      <c r="H3" s="34"/>
      <c r="I3" s="34"/>
      <c r="J3" s="34"/>
      <c r="K3" s="34"/>
      <c r="L3" s="34"/>
      <c r="M3" s="30"/>
      <c r="N3" s="24"/>
      <c r="O3" s="24"/>
      <c r="P3" s="11"/>
      <c r="Q3" s="10" t="s">
        <v>9</v>
      </c>
    </row>
    <row r="4" spans="2:17" customFormat="1" ht="17.399999999999999" x14ac:dyDescent="0.25">
      <c r="B4" s="29"/>
      <c r="C4" s="29"/>
      <c r="D4" s="29"/>
      <c r="E4" s="29"/>
      <c r="F4" s="29"/>
      <c r="G4" s="32"/>
      <c r="H4" s="32"/>
      <c r="I4" s="33"/>
      <c r="J4" s="33"/>
      <c r="K4" s="33"/>
      <c r="L4" s="24"/>
      <c r="M4" s="29"/>
      <c r="N4" s="24"/>
      <c r="O4" s="24"/>
      <c r="P4" s="26"/>
      <c r="Q4" s="10" t="s">
        <v>12</v>
      </c>
    </row>
    <row r="5" spans="2:17" ht="12.75" customHeight="1" x14ac:dyDescent="0.25">
      <c r="B5" s="44" t="s">
        <v>23</v>
      </c>
      <c r="C5" s="45"/>
      <c r="D5" s="45"/>
      <c r="E5" s="46"/>
      <c r="F5" s="52" t="s">
        <v>27</v>
      </c>
      <c r="G5" s="53"/>
      <c r="H5" s="47" t="s">
        <v>29</v>
      </c>
      <c r="I5" s="48"/>
      <c r="J5" s="48"/>
      <c r="K5" s="48"/>
      <c r="L5" s="48"/>
      <c r="M5" s="48"/>
      <c r="N5" s="49"/>
    </row>
    <row r="6" spans="2:17" ht="26.4" x14ac:dyDescent="0.25">
      <c r="B6" s="36" t="s">
        <v>18</v>
      </c>
      <c r="C6" s="43" t="s">
        <v>20</v>
      </c>
      <c r="D6" s="43" t="s">
        <v>21</v>
      </c>
      <c r="E6" s="43" t="s">
        <v>22</v>
      </c>
      <c r="F6" s="42" t="s">
        <v>28</v>
      </c>
      <c r="G6" s="42" t="s">
        <v>26</v>
      </c>
      <c r="H6" s="37" t="s">
        <v>17</v>
      </c>
      <c r="I6" s="38" t="s">
        <v>2</v>
      </c>
      <c r="J6" s="38" t="s">
        <v>16</v>
      </c>
      <c r="K6" s="38" t="s">
        <v>24</v>
      </c>
      <c r="L6" s="38" t="s">
        <v>0</v>
      </c>
      <c r="M6" s="38" t="s">
        <v>1</v>
      </c>
      <c r="N6" s="37" t="s">
        <v>3</v>
      </c>
    </row>
    <row r="7" spans="2:17" ht="26.4" x14ac:dyDescent="0.25">
      <c r="B7" s="40" t="s">
        <v>32</v>
      </c>
      <c r="C7" s="40" t="s">
        <v>33</v>
      </c>
      <c r="D7" s="40" t="s">
        <v>34</v>
      </c>
      <c r="E7" s="40" t="s">
        <v>35</v>
      </c>
      <c r="F7" s="40">
        <v>1.1000000000000001</v>
      </c>
      <c r="G7" s="40" t="s">
        <v>36</v>
      </c>
      <c r="H7" s="25" t="s">
        <v>37</v>
      </c>
      <c r="I7" s="8">
        <v>10</v>
      </c>
      <c r="J7" s="8">
        <v>2</v>
      </c>
      <c r="K7" s="54"/>
      <c r="L7" s="8">
        <v>1</v>
      </c>
      <c r="M7" s="8" t="s">
        <v>9</v>
      </c>
      <c r="N7" s="25"/>
    </row>
    <row r="8" spans="2:17" ht="26.4" x14ac:dyDescent="0.25">
      <c r="B8" s="40" t="s">
        <v>32</v>
      </c>
      <c r="C8" s="40" t="s">
        <v>33</v>
      </c>
      <c r="D8" s="40" t="s">
        <v>34</v>
      </c>
      <c r="E8" s="40" t="s">
        <v>35</v>
      </c>
      <c r="F8" s="40">
        <v>1.2</v>
      </c>
      <c r="G8" s="40" t="s">
        <v>38</v>
      </c>
      <c r="H8" s="25" t="s">
        <v>37</v>
      </c>
      <c r="I8" s="8">
        <v>8</v>
      </c>
      <c r="J8" s="8">
        <v>3</v>
      </c>
      <c r="K8" s="54"/>
      <c r="L8" s="8">
        <v>1</v>
      </c>
      <c r="M8" s="8" t="s">
        <v>9</v>
      </c>
      <c r="N8" s="9"/>
    </row>
    <row r="9" spans="2:17" ht="26.4" x14ac:dyDescent="0.25">
      <c r="B9" s="40" t="s">
        <v>32</v>
      </c>
      <c r="C9" s="40" t="s">
        <v>33</v>
      </c>
      <c r="D9" s="40" t="s">
        <v>34</v>
      </c>
      <c r="E9" s="40" t="s">
        <v>35</v>
      </c>
      <c r="F9" s="40">
        <v>1.3</v>
      </c>
      <c r="G9" s="40" t="s">
        <v>39</v>
      </c>
      <c r="H9" s="25" t="s">
        <v>37</v>
      </c>
      <c r="I9" s="8">
        <v>8</v>
      </c>
      <c r="J9" s="8">
        <v>5</v>
      </c>
      <c r="K9" s="54"/>
      <c r="L9" s="8">
        <v>1</v>
      </c>
      <c r="M9" s="8" t="s">
        <v>9</v>
      </c>
      <c r="N9" s="9"/>
    </row>
    <row r="10" spans="2:17" ht="26.4" x14ac:dyDescent="0.25">
      <c r="B10" s="40" t="s">
        <v>32</v>
      </c>
      <c r="C10" s="40" t="s">
        <v>33</v>
      </c>
      <c r="D10" s="40" t="s">
        <v>34</v>
      </c>
      <c r="E10" s="40" t="s">
        <v>35</v>
      </c>
      <c r="F10" s="40">
        <v>1.4</v>
      </c>
      <c r="G10" s="40" t="s">
        <v>40</v>
      </c>
      <c r="H10" s="25" t="s">
        <v>41</v>
      </c>
      <c r="I10" s="8">
        <v>6</v>
      </c>
      <c r="J10" s="8">
        <v>2</v>
      </c>
      <c r="K10" s="54"/>
      <c r="L10" s="8">
        <v>1</v>
      </c>
      <c r="M10" s="8" t="s">
        <v>9</v>
      </c>
      <c r="N10" s="9"/>
    </row>
    <row r="11" spans="2:17" ht="26.4" x14ac:dyDescent="0.25">
      <c r="B11" s="40" t="s">
        <v>42</v>
      </c>
      <c r="C11" s="41" t="s">
        <v>46</v>
      </c>
      <c r="D11" s="41" t="s">
        <v>47</v>
      </c>
      <c r="E11" s="41" t="s">
        <v>48</v>
      </c>
      <c r="F11" s="40">
        <v>2.1</v>
      </c>
      <c r="G11" s="40" t="s">
        <v>49</v>
      </c>
      <c r="H11" s="25" t="s">
        <v>53</v>
      </c>
      <c r="I11" s="8">
        <v>8</v>
      </c>
      <c r="J11" s="8">
        <v>2</v>
      </c>
      <c r="K11" s="8"/>
      <c r="L11" s="8">
        <v>1</v>
      </c>
      <c r="M11" s="8" t="s">
        <v>9</v>
      </c>
      <c r="N11" s="9"/>
    </row>
    <row r="12" spans="2:17" ht="26.4" x14ac:dyDescent="0.25">
      <c r="B12" s="40" t="s">
        <v>42</v>
      </c>
      <c r="C12" s="41" t="s">
        <v>46</v>
      </c>
      <c r="D12" s="41" t="s">
        <v>47</v>
      </c>
      <c r="E12" s="41" t="s">
        <v>48</v>
      </c>
      <c r="F12" s="41">
        <v>2.2000000000000002</v>
      </c>
      <c r="G12" s="40" t="s">
        <v>50</v>
      </c>
      <c r="H12" s="25" t="s">
        <v>53</v>
      </c>
      <c r="I12" s="8">
        <v>9</v>
      </c>
      <c r="J12" s="8">
        <v>2</v>
      </c>
      <c r="K12" s="8"/>
      <c r="L12" s="8">
        <v>1</v>
      </c>
      <c r="M12" s="8" t="s">
        <v>9</v>
      </c>
      <c r="N12" s="9"/>
    </row>
    <row r="13" spans="2:17" ht="26.4" x14ac:dyDescent="0.25">
      <c r="B13" s="40" t="s">
        <v>42</v>
      </c>
      <c r="C13" s="41" t="s">
        <v>46</v>
      </c>
      <c r="D13" s="41" t="s">
        <v>47</v>
      </c>
      <c r="E13" s="41" t="s">
        <v>48</v>
      </c>
      <c r="F13" s="41">
        <v>2.2999999999999998</v>
      </c>
      <c r="G13" s="40" t="s">
        <v>51</v>
      </c>
      <c r="H13" s="9" t="s">
        <v>52</v>
      </c>
      <c r="I13" s="8">
        <v>8</v>
      </c>
      <c r="J13" s="8">
        <v>3</v>
      </c>
      <c r="K13" s="8"/>
      <c r="L13" s="8">
        <v>1</v>
      </c>
      <c r="M13" s="8" t="s">
        <v>9</v>
      </c>
      <c r="N13" s="9"/>
    </row>
    <row r="14" spans="2:17" ht="26.4" x14ac:dyDescent="0.25">
      <c r="B14" s="40" t="s">
        <v>43</v>
      </c>
      <c r="C14" s="41" t="s">
        <v>46</v>
      </c>
      <c r="D14" s="41" t="s">
        <v>54</v>
      </c>
      <c r="E14" s="41" t="s">
        <v>55</v>
      </c>
      <c r="F14" s="41">
        <v>3.1</v>
      </c>
      <c r="G14" s="40" t="s">
        <v>56</v>
      </c>
      <c r="H14" s="9" t="s">
        <v>59</v>
      </c>
      <c r="I14" s="8">
        <v>8</v>
      </c>
      <c r="J14" s="8">
        <v>2</v>
      </c>
      <c r="K14" s="8"/>
      <c r="L14" s="8">
        <v>1</v>
      </c>
      <c r="M14" s="8" t="s">
        <v>9</v>
      </c>
      <c r="N14" s="9"/>
    </row>
    <row r="15" spans="2:17" ht="26.4" x14ac:dyDescent="0.25">
      <c r="B15" s="40" t="s">
        <v>43</v>
      </c>
      <c r="C15" s="41" t="s">
        <v>46</v>
      </c>
      <c r="D15" s="40" t="s">
        <v>54</v>
      </c>
      <c r="E15" s="41" t="s">
        <v>55</v>
      </c>
      <c r="F15" s="41">
        <v>3.2</v>
      </c>
      <c r="G15" s="40" t="s">
        <v>57</v>
      </c>
      <c r="H15" s="9" t="s">
        <v>59</v>
      </c>
      <c r="I15" s="8">
        <v>8</v>
      </c>
      <c r="J15" s="8">
        <v>2</v>
      </c>
      <c r="K15" s="8"/>
      <c r="L15" s="8">
        <v>1</v>
      </c>
      <c r="M15" s="8" t="s">
        <v>9</v>
      </c>
      <c r="N15" s="9"/>
    </row>
    <row r="16" spans="2:17" ht="26.4" x14ac:dyDescent="0.25">
      <c r="B16" s="40" t="s">
        <v>43</v>
      </c>
      <c r="C16" s="41" t="s">
        <v>46</v>
      </c>
      <c r="D16" s="40" t="s">
        <v>54</v>
      </c>
      <c r="E16" s="41" t="s">
        <v>55</v>
      </c>
      <c r="F16" s="41">
        <v>3.3</v>
      </c>
      <c r="G16" s="40" t="s">
        <v>58</v>
      </c>
      <c r="H16" s="9" t="s">
        <v>59</v>
      </c>
      <c r="I16" s="8">
        <v>9</v>
      </c>
      <c r="J16" s="8">
        <v>3</v>
      </c>
      <c r="K16" s="8"/>
      <c r="L16" s="8">
        <v>1</v>
      </c>
      <c r="M16" s="8" t="s">
        <v>9</v>
      </c>
      <c r="N16" s="9"/>
    </row>
    <row r="17" spans="2:14" ht="26.4" x14ac:dyDescent="0.25">
      <c r="B17" s="41" t="s">
        <v>44</v>
      </c>
      <c r="C17" s="41" t="s">
        <v>46</v>
      </c>
      <c r="D17" s="40" t="s">
        <v>60</v>
      </c>
      <c r="E17" s="41" t="s">
        <v>61</v>
      </c>
      <c r="F17" s="41">
        <v>4.0999999999999996</v>
      </c>
      <c r="G17" s="40" t="s">
        <v>62</v>
      </c>
      <c r="H17" s="9" t="s">
        <v>65</v>
      </c>
      <c r="I17" s="8">
        <v>9</v>
      </c>
      <c r="J17" s="8">
        <v>2</v>
      </c>
      <c r="K17" s="8"/>
      <c r="L17" s="8">
        <v>2</v>
      </c>
      <c r="M17" s="8" t="s">
        <v>11</v>
      </c>
      <c r="N17" s="9"/>
    </row>
    <row r="18" spans="2:14" ht="26.4" x14ac:dyDescent="0.25">
      <c r="B18" s="41" t="s">
        <v>44</v>
      </c>
      <c r="C18" s="41" t="s">
        <v>46</v>
      </c>
      <c r="D18" s="40" t="s">
        <v>60</v>
      </c>
      <c r="E18" s="41" t="s">
        <v>61</v>
      </c>
      <c r="F18" s="41">
        <v>4.2</v>
      </c>
      <c r="G18" s="40" t="s">
        <v>63</v>
      </c>
      <c r="H18" s="9" t="s">
        <v>65</v>
      </c>
      <c r="I18" s="8">
        <v>8</v>
      </c>
      <c r="J18" s="8">
        <v>3</v>
      </c>
      <c r="K18" s="8"/>
      <c r="L18" s="8">
        <v>2</v>
      </c>
      <c r="M18" s="8" t="s">
        <v>11</v>
      </c>
      <c r="N18" s="9"/>
    </row>
    <row r="19" spans="2:14" ht="26.4" x14ac:dyDescent="0.25">
      <c r="B19" s="41" t="s">
        <v>44</v>
      </c>
      <c r="C19" s="41" t="s">
        <v>46</v>
      </c>
      <c r="D19" s="40" t="s">
        <v>60</v>
      </c>
      <c r="E19" s="41" t="s">
        <v>61</v>
      </c>
      <c r="F19" s="41">
        <v>4.3</v>
      </c>
      <c r="G19" s="40" t="s">
        <v>64</v>
      </c>
      <c r="H19" s="9" t="s">
        <v>65</v>
      </c>
      <c r="I19" s="8">
        <v>9</v>
      </c>
      <c r="J19" s="8">
        <v>3</v>
      </c>
      <c r="K19" s="8"/>
      <c r="L19" s="8">
        <v>2</v>
      </c>
      <c r="M19" s="8" t="s">
        <v>11</v>
      </c>
      <c r="N19" s="9"/>
    </row>
    <row r="20" spans="2:14" x14ac:dyDescent="0.25">
      <c r="B20" s="41" t="s">
        <v>45</v>
      </c>
      <c r="C20" s="41" t="s">
        <v>46</v>
      </c>
      <c r="D20" s="40" t="s">
        <v>66</v>
      </c>
      <c r="E20" s="41" t="s">
        <v>67</v>
      </c>
      <c r="F20" s="41">
        <v>5.0999999999999996</v>
      </c>
      <c r="G20" s="40" t="s">
        <v>68</v>
      </c>
      <c r="H20" s="9" t="s">
        <v>71</v>
      </c>
      <c r="I20" s="8">
        <v>6</v>
      </c>
      <c r="J20" s="8">
        <v>2</v>
      </c>
      <c r="K20" s="8"/>
      <c r="L20" s="8">
        <v>1</v>
      </c>
      <c r="M20" s="8" t="s">
        <v>9</v>
      </c>
      <c r="N20" s="9"/>
    </row>
    <row r="21" spans="2:14" x14ac:dyDescent="0.25">
      <c r="B21" s="41" t="s">
        <v>45</v>
      </c>
      <c r="C21" s="41" t="s">
        <v>46</v>
      </c>
      <c r="D21" s="40" t="s">
        <v>66</v>
      </c>
      <c r="E21" s="41" t="s">
        <v>67</v>
      </c>
      <c r="F21" s="41">
        <v>5.2</v>
      </c>
      <c r="G21" s="40" t="s">
        <v>69</v>
      </c>
      <c r="H21" s="9" t="s">
        <v>71</v>
      </c>
      <c r="I21" s="8">
        <v>6</v>
      </c>
      <c r="J21" s="8">
        <v>2</v>
      </c>
      <c r="K21" s="8"/>
      <c r="L21" s="8">
        <v>1</v>
      </c>
      <c r="M21" s="8" t="s">
        <v>9</v>
      </c>
      <c r="N21" s="9"/>
    </row>
    <row r="22" spans="2:14" x14ac:dyDescent="0.25">
      <c r="B22" s="41" t="s">
        <v>45</v>
      </c>
      <c r="C22" s="41" t="s">
        <v>46</v>
      </c>
      <c r="D22" s="40" t="s">
        <v>66</v>
      </c>
      <c r="E22" s="41" t="s">
        <v>67</v>
      </c>
      <c r="F22" s="41">
        <v>5.3</v>
      </c>
      <c r="G22" s="40" t="s">
        <v>70</v>
      </c>
      <c r="H22" s="9" t="s">
        <v>71</v>
      </c>
      <c r="I22" s="8">
        <v>6</v>
      </c>
      <c r="J22" s="8">
        <v>2</v>
      </c>
      <c r="K22" s="8"/>
      <c r="L22" s="8">
        <v>1</v>
      </c>
      <c r="M22" s="8" t="s">
        <v>9</v>
      </c>
      <c r="N22" s="9"/>
    </row>
    <row r="23" spans="2:14" ht="26.4" x14ac:dyDescent="0.25">
      <c r="B23" s="41" t="s">
        <v>72</v>
      </c>
      <c r="C23" s="41" t="s">
        <v>46</v>
      </c>
      <c r="D23" s="40" t="s">
        <v>73</v>
      </c>
      <c r="E23" s="41" t="s">
        <v>74</v>
      </c>
      <c r="F23" s="41">
        <v>6.1</v>
      </c>
      <c r="G23" s="40" t="s">
        <v>75</v>
      </c>
      <c r="H23" s="9" t="s">
        <v>78</v>
      </c>
      <c r="I23" s="8">
        <v>10</v>
      </c>
      <c r="J23" s="8">
        <v>2</v>
      </c>
      <c r="K23" s="8"/>
      <c r="L23" s="8">
        <v>2</v>
      </c>
      <c r="M23" s="8" t="s">
        <v>11</v>
      </c>
      <c r="N23" s="9"/>
    </row>
    <row r="24" spans="2:14" ht="26.4" x14ac:dyDescent="0.25">
      <c r="B24" s="41" t="s">
        <v>72</v>
      </c>
      <c r="C24" s="41" t="s">
        <v>46</v>
      </c>
      <c r="D24" s="40" t="s">
        <v>73</v>
      </c>
      <c r="E24" s="41" t="s">
        <v>74</v>
      </c>
      <c r="F24" s="41">
        <v>6.2</v>
      </c>
      <c r="G24" s="40" t="s">
        <v>76</v>
      </c>
      <c r="H24" s="9" t="s">
        <v>78</v>
      </c>
      <c r="I24" s="8">
        <v>10</v>
      </c>
      <c r="J24" s="8">
        <v>2</v>
      </c>
      <c r="K24" s="8"/>
      <c r="L24" s="8">
        <v>2</v>
      </c>
      <c r="M24" s="8" t="s">
        <v>11</v>
      </c>
      <c r="N24" s="9"/>
    </row>
    <row r="25" spans="2:14" ht="26.4" x14ac:dyDescent="0.25">
      <c r="B25" s="41" t="s">
        <v>72</v>
      </c>
      <c r="C25" s="41" t="s">
        <v>46</v>
      </c>
      <c r="D25" s="40" t="s">
        <v>73</v>
      </c>
      <c r="E25" s="41" t="s">
        <v>74</v>
      </c>
      <c r="F25" s="41">
        <v>6.3</v>
      </c>
      <c r="G25" s="40" t="s">
        <v>77</v>
      </c>
      <c r="H25" s="9" t="s">
        <v>78</v>
      </c>
      <c r="I25" s="8">
        <v>9</v>
      </c>
      <c r="J25" s="8">
        <v>3</v>
      </c>
      <c r="K25" s="8"/>
      <c r="L25" s="8">
        <v>2</v>
      </c>
      <c r="M25" s="8" t="s">
        <v>11</v>
      </c>
      <c r="N25" s="9"/>
    </row>
    <row r="26" spans="2:14" ht="26.4" x14ac:dyDescent="0.25">
      <c r="B26" s="41" t="s">
        <v>79</v>
      </c>
      <c r="C26" s="41" t="s">
        <v>81</v>
      </c>
      <c r="D26" s="40" t="s">
        <v>80</v>
      </c>
      <c r="E26" s="41" t="s">
        <v>82</v>
      </c>
      <c r="F26" s="40">
        <v>7.1</v>
      </c>
      <c r="G26" s="40" t="s">
        <v>83</v>
      </c>
      <c r="H26" s="9" t="s">
        <v>86</v>
      </c>
      <c r="I26" s="8">
        <v>9</v>
      </c>
      <c r="J26" s="8">
        <v>3</v>
      </c>
      <c r="K26" s="8"/>
      <c r="L26" s="8">
        <v>4</v>
      </c>
      <c r="M26" s="8" t="s">
        <v>11</v>
      </c>
      <c r="N26" s="9"/>
    </row>
    <row r="27" spans="2:14" ht="26.4" x14ac:dyDescent="0.25">
      <c r="B27" s="41" t="s">
        <v>79</v>
      </c>
      <c r="C27" s="41" t="s">
        <v>81</v>
      </c>
      <c r="D27" s="40" t="s">
        <v>80</v>
      </c>
      <c r="E27" s="41" t="s">
        <v>82</v>
      </c>
      <c r="F27" s="41">
        <v>7.2</v>
      </c>
      <c r="G27" s="40" t="s">
        <v>84</v>
      </c>
      <c r="H27" s="9" t="s">
        <v>86</v>
      </c>
      <c r="I27" s="8">
        <v>8</v>
      </c>
      <c r="J27" s="8">
        <v>5</v>
      </c>
      <c r="K27" s="8"/>
      <c r="L27" s="8">
        <v>4</v>
      </c>
      <c r="M27" s="8" t="s">
        <v>11</v>
      </c>
      <c r="N27" s="9"/>
    </row>
    <row r="28" spans="2:14" ht="26.4" x14ac:dyDescent="0.25">
      <c r="B28" s="41" t="s">
        <v>79</v>
      </c>
      <c r="C28" s="41" t="s">
        <v>81</v>
      </c>
      <c r="D28" s="40" t="s">
        <v>80</v>
      </c>
      <c r="E28" s="41" t="s">
        <v>82</v>
      </c>
      <c r="F28" s="41">
        <v>7.3</v>
      </c>
      <c r="G28" s="40" t="s">
        <v>85</v>
      </c>
      <c r="H28" s="9" t="s">
        <v>86</v>
      </c>
      <c r="I28" s="8">
        <v>6</v>
      </c>
      <c r="J28" s="8">
        <v>2</v>
      </c>
      <c r="K28" s="8"/>
      <c r="L28" s="8">
        <v>4</v>
      </c>
      <c r="M28" s="8" t="s">
        <v>11</v>
      </c>
      <c r="N28" s="9"/>
    </row>
    <row r="29" spans="2:14" ht="26.4" x14ac:dyDescent="0.25">
      <c r="B29" s="41" t="s">
        <v>87</v>
      </c>
      <c r="C29" s="41" t="s">
        <v>46</v>
      </c>
      <c r="D29" s="40" t="s">
        <v>88</v>
      </c>
      <c r="E29" s="41" t="s">
        <v>89</v>
      </c>
      <c r="F29" s="41">
        <v>8.1</v>
      </c>
      <c r="G29" s="40" t="s">
        <v>90</v>
      </c>
      <c r="H29" s="9" t="s">
        <v>92</v>
      </c>
      <c r="I29" s="8">
        <v>8</v>
      </c>
      <c r="J29" s="8">
        <v>5</v>
      </c>
      <c r="K29" s="8"/>
      <c r="L29" s="8">
        <v>3</v>
      </c>
      <c r="M29" s="8" t="s">
        <v>11</v>
      </c>
      <c r="N29" s="9"/>
    </row>
    <row r="30" spans="2:14" ht="26.4" x14ac:dyDescent="0.25">
      <c r="B30" s="41" t="s">
        <v>87</v>
      </c>
      <c r="C30" s="41" t="s">
        <v>46</v>
      </c>
      <c r="D30" s="40" t="s">
        <v>88</v>
      </c>
      <c r="E30" s="41" t="s">
        <v>89</v>
      </c>
      <c r="F30" s="41">
        <v>8.1999999999999993</v>
      </c>
      <c r="G30" s="40" t="s">
        <v>88</v>
      </c>
      <c r="H30" s="9" t="s">
        <v>92</v>
      </c>
      <c r="I30" s="8">
        <v>9</v>
      </c>
      <c r="J30" s="8">
        <v>8</v>
      </c>
      <c r="K30" s="8"/>
      <c r="L30" s="8">
        <v>3</v>
      </c>
      <c r="M30" s="8" t="s">
        <v>11</v>
      </c>
      <c r="N30" s="9"/>
    </row>
    <row r="31" spans="2:14" ht="26.4" x14ac:dyDescent="0.25">
      <c r="B31" s="41" t="s">
        <v>87</v>
      </c>
      <c r="C31" s="41" t="s">
        <v>46</v>
      </c>
      <c r="D31" s="40" t="s">
        <v>88</v>
      </c>
      <c r="E31" s="41" t="s">
        <v>89</v>
      </c>
      <c r="F31" s="41">
        <v>8.3000000000000007</v>
      </c>
      <c r="G31" s="40" t="s">
        <v>91</v>
      </c>
      <c r="H31" s="9" t="s">
        <v>92</v>
      </c>
      <c r="I31" s="8">
        <v>6</v>
      </c>
      <c r="J31" s="8">
        <v>3</v>
      </c>
      <c r="K31" s="8"/>
      <c r="L31" s="8">
        <v>3</v>
      </c>
      <c r="M31" s="8" t="s">
        <v>11</v>
      </c>
      <c r="N31" s="9"/>
    </row>
    <row r="32" spans="2:14" ht="26.4" x14ac:dyDescent="0.25">
      <c r="B32" s="41" t="s">
        <v>93</v>
      </c>
      <c r="C32" s="41" t="s">
        <v>81</v>
      </c>
      <c r="D32" s="40" t="s">
        <v>94</v>
      </c>
      <c r="E32" s="41" t="s">
        <v>95</v>
      </c>
      <c r="F32" s="41">
        <v>9.1</v>
      </c>
      <c r="G32" s="40" t="s">
        <v>96</v>
      </c>
      <c r="H32" s="9" t="s">
        <v>99</v>
      </c>
      <c r="I32" s="8">
        <v>6</v>
      </c>
      <c r="J32" s="8">
        <v>3</v>
      </c>
      <c r="K32" s="8"/>
      <c r="L32" s="8">
        <v>5</v>
      </c>
      <c r="M32" s="8" t="s">
        <v>11</v>
      </c>
      <c r="N32" s="9"/>
    </row>
    <row r="33" spans="2:14" ht="26.4" x14ac:dyDescent="0.25">
      <c r="B33" s="41" t="s">
        <v>93</v>
      </c>
      <c r="C33" s="41" t="s">
        <v>81</v>
      </c>
      <c r="D33" s="40" t="s">
        <v>94</v>
      </c>
      <c r="E33" s="41" t="s">
        <v>95</v>
      </c>
      <c r="F33" s="41">
        <v>9.1999999999999993</v>
      </c>
      <c r="G33" s="40" t="s">
        <v>97</v>
      </c>
      <c r="H33" s="9" t="s">
        <v>99</v>
      </c>
      <c r="I33" s="8">
        <v>5</v>
      </c>
      <c r="J33" s="8">
        <v>5</v>
      </c>
      <c r="K33" s="8"/>
      <c r="L33" s="8">
        <v>5</v>
      </c>
      <c r="M33" s="8" t="s">
        <v>11</v>
      </c>
      <c r="N33" s="9"/>
    </row>
    <row r="34" spans="2:14" ht="26.4" x14ac:dyDescent="0.25">
      <c r="B34" s="41" t="s">
        <v>93</v>
      </c>
      <c r="C34" s="41" t="s">
        <v>81</v>
      </c>
      <c r="D34" s="40" t="s">
        <v>94</v>
      </c>
      <c r="E34" s="41" t="s">
        <v>95</v>
      </c>
      <c r="F34" s="41">
        <v>9.3000000000000007</v>
      </c>
      <c r="G34" s="40" t="s">
        <v>98</v>
      </c>
      <c r="H34" s="9" t="s">
        <v>99</v>
      </c>
      <c r="I34" s="8">
        <v>6</v>
      </c>
      <c r="J34" s="8">
        <v>3</v>
      </c>
      <c r="K34" s="8"/>
      <c r="L34" s="8">
        <v>5</v>
      </c>
      <c r="M34" s="8" t="s">
        <v>11</v>
      </c>
      <c r="N34" s="9"/>
    </row>
    <row r="35" spans="2:14" ht="26.4" x14ac:dyDescent="0.25">
      <c r="B35" s="41" t="s">
        <v>101</v>
      </c>
      <c r="C35" s="41" t="s">
        <v>102</v>
      </c>
      <c r="D35" s="40" t="s">
        <v>100</v>
      </c>
      <c r="E35" s="41" t="s">
        <v>103</v>
      </c>
      <c r="F35" s="41">
        <v>10.1</v>
      </c>
      <c r="G35" s="40" t="s">
        <v>104</v>
      </c>
      <c r="H35" s="9" t="s">
        <v>106</v>
      </c>
      <c r="I35" s="8">
        <v>5</v>
      </c>
      <c r="J35" s="8">
        <v>2</v>
      </c>
      <c r="K35" s="8"/>
      <c r="L35" s="8">
        <v>1</v>
      </c>
      <c r="M35" s="8" t="s">
        <v>10</v>
      </c>
      <c r="N35" s="9"/>
    </row>
    <row r="36" spans="2:14" ht="26.4" x14ac:dyDescent="0.25">
      <c r="B36" s="41" t="s">
        <v>101</v>
      </c>
      <c r="C36" s="41" t="s">
        <v>102</v>
      </c>
      <c r="D36" s="40" t="s">
        <v>100</v>
      </c>
      <c r="E36" s="41" t="s">
        <v>103</v>
      </c>
      <c r="F36" s="41">
        <v>10.199999999999999</v>
      </c>
      <c r="G36" s="40" t="s">
        <v>105</v>
      </c>
      <c r="H36" s="9" t="s">
        <v>106</v>
      </c>
      <c r="I36" s="8">
        <v>6</v>
      </c>
      <c r="J36" s="8">
        <v>2</v>
      </c>
      <c r="K36" s="8"/>
      <c r="L36" s="8">
        <v>1</v>
      </c>
      <c r="M36" s="8" t="s">
        <v>10</v>
      </c>
      <c r="N36" s="9"/>
    </row>
    <row r="37" spans="2:14" x14ac:dyDescent="0.25">
      <c r="B37" s="41" t="s">
        <v>108</v>
      </c>
      <c r="C37" s="41" t="s">
        <v>109</v>
      </c>
      <c r="D37" s="41" t="s">
        <v>107</v>
      </c>
      <c r="E37" s="41" t="s">
        <v>110</v>
      </c>
      <c r="F37" s="41">
        <v>11.1</v>
      </c>
      <c r="G37" s="40" t="s">
        <v>111</v>
      </c>
      <c r="H37" s="9" t="s">
        <v>112</v>
      </c>
      <c r="I37" s="8">
        <v>5</v>
      </c>
      <c r="J37" s="8">
        <v>2</v>
      </c>
      <c r="K37" s="8"/>
      <c r="L37" s="8">
        <v>1</v>
      </c>
      <c r="M37" s="8" t="s">
        <v>10</v>
      </c>
      <c r="N37" s="9"/>
    </row>
    <row r="38" spans="2:14" x14ac:dyDescent="0.25">
      <c r="B38" s="41" t="s">
        <v>108</v>
      </c>
      <c r="C38" s="41" t="s">
        <v>109</v>
      </c>
      <c r="D38" s="41" t="s">
        <v>107</v>
      </c>
      <c r="E38" s="41" t="s">
        <v>110</v>
      </c>
      <c r="F38" s="41">
        <v>11.2</v>
      </c>
      <c r="G38" s="40" t="s">
        <v>105</v>
      </c>
      <c r="H38" s="9" t="s">
        <v>112</v>
      </c>
      <c r="I38" s="8">
        <v>6</v>
      </c>
      <c r="J38" s="8">
        <v>2</v>
      </c>
      <c r="K38" s="8"/>
      <c r="L38" s="8">
        <v>1</v>
      </c>
      <c r="M38" s="8" t="s">
        <v>10</v>
      </c>
      <c r="N38" s="9"/>
    </row>
    <row r="39" spans="2:14" x14ac:dyDescent="0.25">
      <c r="B39" s="41" t="s">
        <v>113</v>
      </c>
      <c r="C39" s="41" t="s">
        <v>46</v>
      </c>
      <c r="D39" s="41" t="s">
        <v>114</v>
      </c>
      <c r="E39" s="41" t="s">
        <v>115</v>
      </c>
      <c r="F39" s="41">
        <v>12.1</v>
      </c>
      <c r="G39" s="40" t="s">
        <v>116</v>
      </c>
      <c r="H39" s="9" t="s">
        <v>119</v>
      </c>
      <c r="I39" s="8">
        <v>9</v>
      </c>
      <c r="J39" s="8">
        <v>3</v>
      </c>
      <c r="K39" s="8"/>
      <c r="L39" s="8">
        <v>2</v>
      </c>
      <c r="M39" s="8" t="s">
        <v>11</v>
      </c>
      <c r="N39" s="9"/>
    </row>
    <row r="40" spans="2:14" x14ac:dyDescent="0.25">
      <c r="B40" s="41" t="s">
        <v>113</v>
      </c>
      <c r="C40" s="41" t="s">
        <v>46</v>
      </c>
      <c r="D40" s="41" t="s">
        <v>114</v>
      </c>
      <c r="E40" s="41" t="s">
        <v>115</v>
      </c>
      <c r="F40" s="41">
        <v>12.2</v>
      </c>
      <c r="G40" s="40" t="s">
        <v>117</v>
      </c>
      <c r="H40" s="9" t="s">
        <v>119</v>
      </c>
      <c r="I40" s="8">
        <v>6</v>
      </c>
      <c r="J40" s="8">
        <v>2</v>
      </c>
      <c r="K40" s="8"/>
      <c r="L40" s="8">
        <v>2</v>
      </c>
      <c r="M40" s="8" t="s">
        <v>11</v>
      </c>
      <c r="N40" s="9"/>
    </row>
    <row r="41" spans="2:14" x14ac:dyDescent="0.25">
      <c r="B41" s="41" t="s">
        <v>113</v>
      </c>
      <c r="C41" s="41" t="s">
        <v>46</v>
      </c>
      <c r="D41" s="41" t="s">
        <v>114</v>
      </c>
      <c r="E41" s="41" t="s">
        <v>115</v>
      </c>
      <c r="F41" s="41">
        <v>12.3</v>
      </c>
      <c r="G41" s="40" t="s">
        <v>118</v>
      </c>
      <c r="H41" s="9" t="s">
        <v>119</v>
      </c>
      <c r="I41" s="8">
        <v>5</v>
      </c>
      <c r="J41" s="8">
        <v>2</v>
      </c>
      <c r="K41" s="8"/>
      <c r="L41" s="8">
        <v>2</v>
      </c>
      <c r="M41" s="8" t="s">
        <v>11</v>
      </c>
      <c r="N41" s="9"/>
    </row>
    <row r="42" spans="2:14" x14ac:dyDescent="0.25">
      <c r="B42" s="41" t="s">
        <v>120</v>
      </c>
      <c r="C42" s="41" t="s">
        <v>46</v>
      </c>
      <c r="D42" s="41" t="s">
        <v>121</v>
      </c>
      <c r="E42" s="41" t="s">
        <v>122</v>
      </c>
      <c r="F42" s="41">
        <v>13.1</v>
      </c>
      <c r="G42" s="40" t="s">
        <v>123</v>
      </c>
      <c r="H42" s="9" t="s">
        <v>124</v>
      </c>
      <c r="I42" s="8">
        <v>8</v>
      </c>
      <c r="J42" s="8">
        <v>5</v>
      </c>
      <c r="K42" s="8"/>
      <c r="L42" s="8">
        <v>3</v>
      </c>
      <c r="M42" s="8" t="s">
        <v>11</v>
      </c>
      <c r="N42" s="9"/>
    </row>
    <row r="43" spans="2:14" x14ac:dyDescent="0.25">
      <c r="B43" s="41" t="s">
        <v>120</v>
      </c>
      <c r="C43" s="41" t="s">
        <v>46</v>
      </c>
      <c r="D43" s="41" t="s">
        <v>121</v>
      </c>
      <c r="E43" s="41" t="s">
        <v>122</v>
      </c>
      <c r="F43" s="41">
        <v>13.2</v>
      </c>
      <c r="G43" s="40" t="s">
        <v>85</v>
      </c>
      <c r="H43" s="9" t="s">
        <v>124</v>
      </c>
      <c r="I43" s="8">
        <v>6</v>
      </c>
      <c r="J43" s="8">
        <v>2</v>
      </c>
      <c r="K43" s="8"/>
      <c r="L43" s="8">
        <v>3</v>
      </c>
      <c r="M43" s="8" t="s">
        <v>11</v>
      </c>
      <c r="N43" s="9"/>
    </row>
    <row r="44" spans="2:14" x14ac:dyDescent="0.25">
      <c r="B44" s="41" t="s">
        <v>125</v>
      </c>
      <c r="C44" s="41" t="s">
        <v>46</v>
      </c>
      <c r="D44" s="41" t="s">
        <v>126</v>
      </c>
      <c r="E44" s="41" t="s">
        <v>127</v>
      </c>
      <c r="F44" s="41">
        <v>14.1</v>
      </c>
      <c r="G44" s="40" t="s">
        <v>128</v>
      </c>
      <c r="H44" s="9" t="s">
        <v>130</v>
      </c>
      <c r="I44" s="8">
        <v>10</v>
      </c>
      <c r="J44" s="8">
        <v>3</v>
      </c>
      <c r="K44" s="8"/>
      <c r="L44" s="8">
        <v>5</v>
      </c>
      <c r="M44" s="8" t="s">
        <v>11</v>
      </c>
      <c r="N44" s="9"/>
    </row>
    <row r="45" spans="2:14" x14ac:dyDescent="0.25">
      <c r="B45" s="41" t="s">
        <v>125</v>
      </c>
      <c r="C45" s="41" t="s">
        <v>46</v>
      </c>
      <c r="D45" s="41" t="s">
        <v>126</v>
      </c>
      <c r="E45" s="41" t="s">
        <v>127</v>
      </c>
      <c r="F45" s="41">
        <v>14.2</v>
      </c>
      <c r="G45" s="40" t="s">
        <v>129</v>
      </c>
      <c r="H45" s="9" t="s">
        <v>130</v>
      </c>
      <c r="I45" s="8">
        <v>9</v>
      </c>
      <c r="J45" s="8">
        <v>3</v>
      </c>
      <c r="K45" s="8"/>
      <c r="L45" s="8">
        <v>5</v>
      </c>
      <c r="M45" s="8" t="s">
        <v>11</v>
      </c>
      <c r="N45" s="9"/>
    </row>
    <row r="46" spans="2:14" x14ac:dyDescent="0.25">
      <c r="B46" s="41" t="s">
        <v>131</v>
      </c>
      <c r="C46" s="41" t="s">
        <v>33</v>
      </c>
      <c r="D46" s="41" t="s">
        <v>132</v>
      </c>
      <c r="E46" s="41" t="s">
        <v>133</v>
      </c>
      <c r="F46" s="41">
        <v>15.1</v>
      </c>
      <c r="G46" s="40" t="s">
        <v>134</v>
      </c>
      <c r="H46" s="9" t="s">
        <v>136</v>
      </c>
      <c r="I46" s="8">
        <v>6</v>
      </c>
      <c r="J46" s="8">
        <v>3</v>
      </c>
      <c r="K46" s="8"/>
      <c r="L46" s="8">
        <v>1</v>
      </c>
      <c r="M46" s="8" t="s">
        <v>10</v>
      </c>
      <c r="N46" s="9"/>
    </row>
    <row r="47" spans="2:14" x14ac:dyDescent="0.25">
      <c r="B47" s="41" t="s">
        <v>131</v>
      </c>
      <c r="C47" s="41" t="s">
        <v>33</v>
      </c>
      <c r="D47" s="41" t="s">
        <v>132</v>
      </c>
      <c r="E47" s="41" t="s">
        <v>133</v>
      </c>
      <c r="F47" s="41">
        <v>15.2</v>
      </c>
      <c r="G47" s="40" t="s">
        <v>135</v>
      </c>
      <c r="H47" s="9" t="s">
        <v>136</v>
      </c>
      <c r="I47" s="8">
        <v>3</v>
      </c>
      <c r="J47" s="8">
        <v>1</v>
      </c>
      <c r="K47" s="8"/>
      <c r="L47" s="8">
        <v>1</v>
      </c>
      <c r="M47" s="8" t="s">
        <v>10</v>
      </c>
      <c r="N47" s="9"/>
    </row>
    <row r="48" spans="2:14" x14ac:dyDescent="0.25">
      <c r="B48" s="41" t="s">
        <v>137</v>
      </c>
      <c r="C48" s="41" t="s">
        <v>33</v>
      </c>
      <c r="D48" s="41" t="s">
        <v>138</v>
      </c>
      <c r="E48" s="41" t="s">
        <v>139</v>
      </c>
      <c r="F48" s="41">
        <v>16.100000000000001</v>
      </c>
      <c r="G48" s="40" t="s">
        <v>140</v>
      </c>
      <c r="H48" s="9" t="s">
        <v>141</v>
      </c>
      <c r="I48" s="8">
        <v>7</v>
      </c>
      <c r="J48" s="8">
        <v>3</v>
      </c>
      <c r="K48" s="8"/>
      <c r="L48" s="8">
        <v>2</v>
      </c>
      <c r="M48" s="8" t="s">
        <v>11</v>
      </c>
      <c r="N48" s="9"/>
    </row>
    <row r="49" spans="2:14" x14ac:dyDescent="0.25">
      <c r="B49" s="41" t="s">
        <v>137</v>
      </c>
      <c r="C49" s="41" t="s">
        <v>33</v>
      </c>
      <c r="D49" s="41" t="s">
        <v>138</v>
      </c>
      <c r="E49" s="41" t="s">
        <v>139</v>
      </c>
      <c r="F49" s="41">
        <v>16.2</v>
      </c>
      <c r="G49" s="40" t="s">
        <v>135</v>
      </c>
      <c r="H49" s="9" t="s">
        <v>141</v>
      </c>
      <c r="I49" s="8">
        <v>3</v>
      </c>
      <c r="J49" s="8">
        <v>1</v>
      </c>
      <c r="K49" s="8"/>
      <c r="L49" s="8">
        <v>2</v>
      </c>
      <c r="M49" s="8" t="s">
        <v>11</v>
      </c>
      <c r="N49" s="9"/>
    </row>
    <row r="50" spans="2:14" x14ac:dyDescent="0.25">
      <c r="B50" s="41"/>
      <c r="C50" s="41"/>
      <c r="D50" s="41"/>
      <c r="E50" s="41"/>
      <c r="F50" s="41"/>
      <c r="G50" s="40"/>
      <c r="H50" s="9"/>
      <c r="I50" s="8"/>
      <c r="J50" s="8"/>
      <c r="K50" s="8"/>
      <c r="L50" s="8"/>
      <c r="M50" s="8"/>
      <c r="N50" s="9"/>
    </row>
    <row r="51" spans="2:14" x14ac:dyDescent="0.25">
      <c r="B51" s="41"/>
      <c r="C51" s="41"/>
      <c r="D51" s="41"/>
      <c r="E51" s="41"/>
      <c r="F51" s="41"/>
      <c r="G51" s="41"/>
      <c r="H51" s="9"/>
      <c r="I51" s="8"/>
      <c r="J51" s="8"/>
      <c r="K51" s="8"/>
      <c r="L51" s="8"/>
      <c r="M51" s="8"/>
      <c r="N51" s="9"/>
    </row>
    <row r="56" spans="2:14" x14ac:dyDescent="0.25">
      <c r="G56" s="6"/>
      <c r="H56" s="6"/>
    </row>
    <row r="69" spans="2:14" x14ac:dyDescent="0.25">
      <c r="N69" s="7"/>
    </row>
    <row r="80" spans="2:14" x14ac:dyDescent="0.25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</row>
  </sheetData>
  <mergeCells count="7">
    <mergeCell ref="B5:E5"/>
    <mergeCell ref="H5:N5"/>
    <mergeCell ref="B2:C2"/>
    <mergeCell ref="B3:C3"/>
    <mergeCell ref="D2:E2"/>
    <mergeCell ref="D3:E3"/>
    <mergeCell ref="F5:G5"/>
  </mergeCells>
  <phoneticPr fontId="2" type="noConversion"/>
  <conditionalFormatting sqref="N69:N70">
    <cfRule type="expression" dxfId="42" priority="43" stopIfTrue="1">
      <formula>#REF!="Done"</formula>
    </cfRule>
    <cfRule type="expression" dxfId="41" priority="44" stopIfTrue="1">
      <formula>#REF!="Ongoing"</formula>
    </cfRule>
    <cfRule type="expression" dxfId="40" priority="45" stopIfTrue="1">
      <formula>#REF!="Removed"</formula>
    </cfRule>
  </conditionalFormatting>
  <conditionalFormatting sqref="N24">
    <cfRule type="expression" dxfId="39" priority="46" stopIfTrue="1">
      <formula>#REF!="Done"</formula>
    </cfRule>
    <cfRule type="expression" dxfId="38" priority="47" stopIfTrue="1">
      <formula>#REF!="Ongoing"</formula>
    </cfRule>
    <cfRule type="expression" dxfId="37" priority="48" stopIfTrue="1">
      <formula>#REF!="Removed"</formula>
    </cfRule>
  </conditionalFormatting>
  <conditionalFormatting sqref="N80">
    <cfRule type="expression" dxfId="36" priority="91" stopIfTrue="1">
      <formula>$M70="Done"</formula>
    </cfRule>
    <cfRule type="expression" dxfId="35" priority="92" stopIfTrue="1">
      <formula>$M70="Ongoing"</formula>
    </cfRule>
    <cfRule type="expression" dxfId="34" priority="93" stopIfTrue="1">
      <formula>$M70="Removed"</formula>
    </cfRule>
  </conditionalFormatting>
  <conditionalFormatting sqref="B7:F7 B8:G9 B10:H11 B51:H125 B12:F14 B15:C36 E15:F36 B37:F50 H12:H50 I7:N125">
    <cfRule type="expression" dxfId="2" priority="49" stopIfTrue="1">
      <formula>$M7="Terminado"</formula>
    </cfRule>
    <cfRule type="expression" dxfId="1" priority="50" stopIfTrue="1">
      <formula>$M7="En Progreso"</formula>
    </cfRule>
    <cfRule type="expression" dxfId="0" priority="51" stopIfTrue="1">
      <formula>$M7="Eliminado"</formula>
    </cfRule>
  </conditionalFormatting>
  <conditionalFormatting sqref="P3">
    <cfRule type="expression" dxfId="33" priority="97" stopIfTrue="1">
      <formula>$M11="Done"</formula>
    </cfRule>
    <cfRule type="expression" dxfId="32" priority="98" stopIfTrue="1">
      <formula>$M11="In Progress"</formula>
    </cfRule>
    <cfRule type="expression" dxfId="31" priority="99" stopIfTrue="1">
      <formula>$M11="Removed"</formula>
    </cfRule>
  </conditionalFormatting>
  <conditionalFormatting sqref="P1">
    <cfRule type="expression" dxfId="30" priority="100" stopIfTrue="1">
      <formula>$M9="Done"</formula>
    </cfRule>
    <cfRule type="expression" dxfId="29" priority="101" stopIfTrue="1">
      <formula>$M9="In Progress"</formula>
    </cfRule>
    <cfRule type="expression" dxfId="28" priority="102" stopIfTrue="1">
      <formula>$M9="Removed"</formula>
    </cfRule>
  </conditionalFormatting>
  <conditionalFormatting sqref="G7">
    <cfRule type="expression" dxfId="20" priority="16" stopIfTrue="1">
      <formula>$M7="Terminado"</formula>
    </cfRule>
    <cfRule type="expression" dxfId="19" priority="17" stopIfTrue="1">
      <formula>$M7="En Progreso"</formula>
    </cfRule>
    <cfRule type="expression" dxfId="18" priority="18" stopIfTrue="1">
      <formula>$M7="Eliminado"</formula>
    </cfRule>
  </conditionalFormatting>
  <conditionalFormatting sqref="H7:H9">
    <cfRule type="expression" dxfId="17" priority="13" stopIfTrue="1">
      <formula>$M7="Terminado"</formula>
    </cfRule>
    <cfRule type="expression" dxfId="16" priority="14" stopIfTrue="1">
      <formula>$M7="En Progreso"</formula>
    </cfRule>
    <cfRule type="expression" dxfId="15" priority="15" stopIfTrue="1">
      <formula>$M7="Eliminado"</formula>
    </cfRule>
  </conditionalFormatting>
  <conditionalFormatting sqref="D15:D35">
    <cfRule type="expression" dxfId="14" priority="10" stopIfTrue="1">
      <formula>$M15="Terminado"</formula>
    </cfRule>
    <cfRule type="expression" dxfId="13" priority="11" stopIfTrue="1">
      <formula>$M15="En Progreso"</formula>
    </cfRule>
    <cfRule type="expression" dxfId="12" priority="12" stopIfTrue="1">
      <formula>$M15="Eliminado"</formula>
    </cfRule>
  </conditionalFormatting>
  <conditionalFormatting sqref="G12:G26 G28:G50">
    <cfRule type="expression" dxfId="11" priority="7" stopIfTrue="1">
      <formula>$M12="Terminado"</formula>
    </cfRule>
    <cfRule type="expression" dxfId="10" priority="8" stopIfTrue="1">
      <formula>$M12="En Progreso"</formula>
    </cfRule>
    <cfRule type="expression" dxfId="9" priority="9" stopIfTrue="1">
      <formula>$M12="Eliminado"</formula>
    </cfRule>
  </conditionalFormatting>
  <conditionalFormatting sqref="G27">
    <cfRule type="expression" dxfId="8" priority="4" stopIfTrue="1">
      <formula>$M27="Terminado"</formula>
    </cfRule>
    <cfRule type="expression" dxfId="7" priority="5" stopIfTrue="1">
      <formula>$M27="En Progreso"</formula>
    </cfRule>
    <cfRule type="expression" dxfId="6" priority="6" stopIfTrue="1">
      <formula>$M27="Eliminado"</formula>
    </cfRule>
  </conditionalFormatting>
  <conditionalFormatting sqref="D36">
    <cfRule type="expression" dxfId="5" priority="1" stopIfTrue="1">
      <formula>$M36="Terminado"</formula>
    </cfRule>
    <cfRule type="expression" dxfId="4" priority="2" stopIfTrue="1">
      <formula>$M36="En Progreso"</formula>
    </cfRule>
    <cfRule type="expression" dxfId="3" priority="3" stopIfTrue="1">
      <formula>$M36="Eliminado"</formula>
    </cfRule>
  </conditionalFormatting>
  <dataValidations count="2">
    <dataValidation type="list" allowBlank="1" showInputMessage="1" sqref="M81:M190 M6:M79" xr:uid="{00000000-0002-0000-0000-000000000000}">
      <formula1>"Por Hacer,En Progreso,Terminado,Eliminado"</formula1>
    </dataValidation>
    <dataValidation type="list" allowBlank="1" showInputMessage="1" showErrorMessage="1" sqref="I7:I51" xr:uid="{00000000-0002-0000-0000-000001000000}">
      <formula1>"1,2,3,4,5,6,7,8,9,10"</formula1>
    </dataValidation>
  </dataValidations>
  <pageMargins left="0.75" right="0.75" top="1" bottom="1" header="0.5" footer="0.5"/>
  <pageSetup paperSize="9" scale="40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B1:J18"/>
  <sheetViews>
    <sheetView workbookViewId="0">
      <selection activeCell="E7" sqref="E7"/>
    </sheetView>
  </sheetViews>
  <sheetFormatPr baseColWidth="10" defaultColWidth="9.109375" defaultRowHeight="13.2" x14ac:dyDescent="0.25"/>
  <cols>
    <col min="1" max="1" width="3.33203125" customWidth="1"/>
    <col min="2" max="2" width="7.88671875" customWidth="1"/>
    <col min="3" max="3" width="10.44140625" customWidth="1"/>
    <col min="4" max="4" width="9.5546875" customWidth="1"/>
    <col min="5" max="6" width="10.6640625" customWidth="1"/>
    <col min="7" max="7" width="9.109375" customWidth="1"/>
    <col min="8" max="8" width="22" style="2" customWidth="1"/>
    <col min="9" max="9" width="59.109375" customWidth="1"/>
  </cols>
  <sheetData>
    <row r="1" spans="2:10" ht="17.399999999999999" x14ac:dyDescent="0.3">
      <c r="B1" s="3"/>
    </row>
    <row r="2" spans="2:10" x14ac:dyDescent="0.25">
      <c r="B2" s="27" t="s">
        <v>0</v>
      </c>
      <c r="C2" s="27" t="s">
        <v>4</v>
      </c>
      <c r="D2" s="27" t="s">
        <v>5</v>
      </c>
      <c r="E2" s="27" t="s">
        <v>6</v>
      </c>
      <c r="F2" s="27" t="s">
        <v>16</v>
      </c>
      <c r="G2" s="28" t="s">
        <v>1</v>
      </c>
      <c r="H2" s="27" t="s">
        <v>7</v>
      </c>
      <c r="I2" s="28" t="s">
        <v>8</v>
      </c>
      <c r="J2" s="1"/>
    </row>
    <row r="3" spans="2:10" x14ac:dyDescent="0.25">
      <c r="B3" s="17">
        <v>1</v>
      </c>
      <c r="C3" s="35">
        <v>43332</v>
      </c>
      <c r="D3" s="20">
        <v>30</v>
      </c>
      <c r="E3" s="21">
        <v>43362</v>
      </c>
      <c r="F3" s="17">
        <f>IF(B3="","",SUMIF('Backlog del Producto'!L$7:L$130,Sprints!B3,'Backlog del Producto'!J$7:J$130))</f>
        <v>44</v>
      </c>
      <c r="G3" s="18" t="s">
        <v>13</v>
      </c>
      <c r="H3" s="20"/>
      <c r="I3" s="15"/>
    </row>
    <row r="4" spans="2:10" x14ac:dyDescent="0.25">
      <c r="B4" s="17">
        <v>2</v>
      </c>
      <c r="C4" s="19">
        <f>IF(AND(C3&lt;&gt;"",D3&lt;&gt;"",D4&lt;&gt;""),C3+D3,"")</f>
        <v>43362</v>
      </c>
      <c r="D4" s="20">
        <v>15</v>
      </c>
      <c r="E4" s="21">
        <f>IF(AND(C4&lt;&gt;"",D4&lt;&gt;""),C4+D4-1,"")</f>
        <v>43376</v>
      </c>
      <c r="F4" s="17">
        <f>IF(B4="","",SUMIF('Backlog del Producto'!L$7:L$130,Sprints!B4,'Backlog del Producto'!J$7:J$130))</f>
        <v>26</v>
      </c>
      <c r="G4" s="18" t="s">
        <v>13</v>
      </c>
      <c r="H4" s="20"/>
      <c r="I4" s="15"/>
    </row>
    <row r="5" spans="2:10" x14ac:dyDescent="0.25">
      <c r="B5" s="17">
        <v>3</v>
      </c>
      <c r="C5" s="19">
        <f>IF(AND(C4&lt;&gt;"",D4&lt;&gt;"",D5&lt;&gt;""),C4+D4,"")</f>
        <v>43377</v>
      </c>
      <c r="D5" s="20">
        <v>30</v>
      </c>
      <c r="E5" s="21">
        <f>IF(AND(C5&lt;&gt;"",D5&lt;&gt;""),C5+D5-1,"")</f>
        <v>43406</v>
      </c>
      <c r="F5" s="17">
        <f>IF(B5="","",SUMIF('Backlog del Producto'!L$7:L$130,Sprints!B5,'Backlog del Producto'!J$7:J$130))</f>
        <v>23</v>
      </c>
      <c r="G5" s="18" t="s">
        <v>13</v>
      </c>
      <c r="H5" s="20"/>
      <c r="I5" s="15"/>
    </row>
    <row r="6" spans="2:10" x14ac:dyDescent="0.25">
      <c r="B6" s="17">
        <v>4</v>
      </c>
      <c r="C6" s="19">
        <f>IF(AND(C5&lt;&gt;"",D5&lt;&gt;"",D6&lt;&gt;""),C5+D5,"")</f>
        <v>43407</v>
      </c>
      <c r="D6" s="20">
        <v>30</v>
      </c>
      <c r="E6" s="21">
        <f>IF(AND(C6&lt;&gt;"",D6&lt;&gt;""),C6+D6-1,"")</f>
        <v>43436</v>
      </c>
      <c r="F6" s="17">
        <f>IF(B6="","",SUMIF('Backlog del Producto'!L$7:L$130,Sprints!B6,'Backlog del Producto'!J$7:J$130))</f>
        <v>10</v>
      </c>
      <c r="G6" s="18" t="s">
        <v>13</v>
      </c>
      <c r="H6" s="20"/>
      <c r="I6" s="15"/>
    </row>
    <row r="7" spans="2:10" x14ac:dyDescent="0.25">
      <c r="B7" s="17">
        <v>5</v>
      </c>
      <c r="C7" s="19">
        <f>IF(AND(C6&lt;&gt;"",D6&lt;&gt;"",D7&lt;&gt;""),C6+D6,"")</f>
        <v>43437</v>
      </c>
      <c r="D7" s="20">
        <v>30</v>
      </c>
      <c r="E7" s="21">
        <f>IF(AND(C7&lt;&gt;"",D7&lt;&gt;""),C7+D7-1,"")</f>
        <v>43466</v>
      </c>
      <c r="F7" s="17">
        <f>IF(B7="","",SUMIF('Backlog del Producto'!L$7:L$130,Sprints!B7,'Backlog del Producto'!J$7:J$130))</f>
        <v>17</v>
      </c>
      <c r="G7" s="18" t="s">
        <v>13</v>
      </c>
      <c r="H7" s="20"/>
      <c r="I7" s="15"/>
    </row>
    <row r="8" spans="2:10" x14ac:dyDescent="0.25">
      <c r="B8" s="17"/>
      <c r="C8" s="19"/>
      <c r="D8" s="20"/>
      <c r="E8" s="21"/>
      <c r="F8" s="17"/>
      <c r="G8" s="18"/>
      <c r="H8" s="20"/>
      <c r="I8" s="15"/>
    </row>
    <row r="9" spans="2:10" x14ac:dyDescent="0.25">
      <c r="B9" s="17" t="str">
        <f t="shared" ref="B9:B17" si="0">IF(AND(C9&lt;&gt;"",D9&lt;&gt;""),B8+1,"")</f>
        <v/>
      </c>
      <c r="C9" s="19" t="str">
        <f t="shared" ref="C9:C17" si="1">IF(AND(C8&lt;&gt;"",D8&lt;&gt;"",D9&lt;&gt;""),C8+D8,"")</f>
        <v/>
      </c>
      <c r="D9" s="20"/>
      <c r="E9" s="21" t="str">
        <f t="shared" ref="E9:E17" si="2">IF(AND(C9&lt;&gt;"",D9&lt;&gt;""),C9+D9-1,"")</f>
        <v/>
      </c>
      <c r="F9" s="17" t="str">
        <f>IF(B9="","",SUMIF('Backlog del Producto'!L$8:L$130,Sprints!B9,'Backlog del Producto'!J$8:J$130))</f>
        <v/>
      </c>
      <c r="G9" s="18" t="str">
        <f t="shared" ref="G9:G17" si="3">IF(AND(OR(G8="Planned",G8="Ongoing"),D9&lt;&gt;""),"Planned","Unplanned")</f>
        <v>Unplanned</v>
      </c>
      <c r="H9" s="20"/>
      <c r="I9" s="15"/>
    </row>
    <row r="10" spans="2:10" x14ac:dyDescent="0.25">
      <c r="B10" s="17" t="str">
        <f t="shared" si="0"/>
        <v/>
      </c>
      <c r="C10" s="19" t="str">
        <f t="shared" si="1"/>
        <v/>
      </c>
      <c r="D10" s="20"/>
      <c r="E10" s="21" t="str">
        <f t="shared" si="2"/>
        <v/>
      </c>
      <c r="F10" s="17" t="str">
        <f>IF(B10="","",SUMIF('Backlog del Producto'!L$8:L$130,Sprints!B10,'Backlog del Producto'!J$8:J$130))</f>
        <v/>
      </c>
      <c r="G10" s="18" t="str">
        <f t="shared" si="3"/>
        <v>Unplanned</v>
      </c>
      <c r="H10" s="20"/>
      <c r="I10" s="15"/>
    </row>
    <row r="11" spans="2:10" x14ac:dyDescent="0.25">
      <c r="B11" s="17" t="str">
        <f t="shared" si="0"/>
        <v/>
      </c>
      <c r="C11" s="19" t="str">
        <f t="shared" si="1"/>
        <v/>
      </c>
      <c r="D11" s="20"/>
      <c r="E11" s="21" t="str">
        <f t="shared" si="2"/>
        <v/>
      </c>
      <c r="F11" s="17" t="str">
        <f>IF(B11="","",SUMIF('Backlog del Producto'!L$8:L$130,Sprints!B11,'Backlog del Producto'!J$8:J$130))</f>
        <v/>
      </c>
      <c r="G11" s="18" t="str">
        <f t="shared" si="3"/>
        <v>Unplanned</v>
      </c>
      <c r="H11" s="20"/>
      <c r="I11" s="15"/>
    </row>
    <row r="12" spans="2:10" x14ac:dyDescent="0.25">
      <c r="B12" s="17" t="str">
        <f t="shared" si="0"/>
        <v/>
      </c>
      <c r="C12" s="19" t="str">
        <f t="shared" si="1"/>
        <v/>
      </c>
      <c r="D12" s="20"/>
      <c r="E12" s="21" t="str">
        <f t="shared" si="2"/>
        <v/>
      </c>
      <c r="F12" s="17" t="str">
        <f>IF(B12="","",SUMIF('Backlog del Producto'!L$8:L$130,Sprints!B12,'Backlog del Producto'!J$8:J$130))</f>
        <v/>
      </c>
      <c r="G12" s="18" t="str">
        <f t="shared" si="3"/>
        <v>Unplanned</v>
      </c>
      <c r="H12" s="20"/>
      <c r="I12" s="15"/>
    </row>
    <row r="13" spans="2:10" x14ac:dyDescent="0.25">
      <c r="B13" s="17" t="str">
        <f t="shared" si="0"/>
        <v/>
      </c>
      <c r="C13" s="19" t="str">
        <f t="shared" si="1"/>
        <v/>
      </c>
      <c r="D13" s="20"/>
      <c r="E13" s="21" t="str">
        <f t="shared" si="2"/>
        <v/>
      </c>
      <c r="F13" s="17" t="str">
        <f>IF(B13="","",SUMIF('Backlog del Producto'!L$8:L$130,Sprints!B13,'Backlog del Producto'!J$8:J$130))</f>
        <v/>
      </c>
      <c r="G13" s="18" t="str">
        <f t="shared" si="3"/>
        <v>Unplanned</v>
      </c>
      <c r="H13" s="20"/>
      <c r="I13" s="15"/>
    </row>
    <row r="14" spans="2:10" x14ac:dyDescent="0.25">
      <c r="B14" s="17" t="str">
        <f t="shared" si="0"/>
        <v/>
      </c>
      <c r="C14" s="19" t="str">
        <f t="shared" si="1"/>
        <v/>
      </c>
      <c r="D14" s="20"/>
      <c r="E14" s="21" t="str">
        <f t="shared" si="2"/>
        <v/>
      </c>
      <c r="F14" s="17" t="str">
        <f>IF(B14="","",SUMIF('Backlog del Producto'!L$8:L$130,Sprints!B14,'Backlog del Producto'!J$8:J$130))</f>
        <v/>
      </c>
      <c r="G14" s="18" t="str">
        <f t="shared" si="3"/>
        <v>Unplanned</v>
      </c>
      <c r="H14" s="20"/>
      <c r="I14" s="15"/>
    </row>
    <row r="15" spans="2:10" x14ac:dyDescent="0.25">
      <c r="B15" s="17" t="str">
        <f t="shared" si="0"/>
        <v/>
      </c>
      <c r="C15" s="19" t="str">
        <f t="shared" si="1"/>
        <v/>
      </c>
      <c r="D15" s="20"/>
      <c r="E15" s="21" t="str">
        <f t="shared" si="2"/>
        <v/>
      </c>
      <c r="F15" s="17" t="str">
        <f>IF(B15="","",SUMIF('Backlog del Producto'!L$8:L$130,Sprints!B15,'Backlog del Producto'!J$8:J$130))</f>
        <v/>
      </c>
      <c r="G15" s="18" t="str">
        <f t="shared" si="3"/>
        <v>Unplanned</v>
      </c>
      <c r="H15" s="20"/>
      <c r="I15" s="15"/>
    </row>
    <row r="16" spans="2:10" x14ac:dyDescent="0.25">
      <c r="B16" s="17" t="str">
        <f t="shared" si="0"/>
        <v/>
      </c>
      <c r="C16" s="19" t="str">
        <f t="shared" si="1"/>
        <v/>
      </c>
      <c r="D16" s="20"/>
      <c r="E16" s="21" t="str">
        <f t="shared" si="2"/>
        <v/>
      </c>
      <c r="F16" s="17" t="str">
        <f>IF(B16="","",SUMIF('Backlog del Producto'!L$8:L$130,Sprints!B16,'Backlog del Producto'!J$8:J$130))</f>
        <v/>
      </c>
      <c r="G16" s="18" t="str">
        <f t="shared" si="3"/>
        <v>Unplanned</v>
      </c>
      <c r="H16" s="20"/>
      <c r="I16" s="15"/>
    </row>
    <row r="17" spans="2:9" x14ac:dyDescent="0.25">
      <c r="B17" s="17" t="str">
        <f t="shared" si="0"/>
        <v/>
      </c>
      <c r="C17" s="19" t="str">
        <f t="shared" si="1"/>
        <v/>
      </c>
      <c r="D17" s="20"/>
      <c r="E17" s="21" t="str">
        <f t="shared" si="2"/>
        <v/>
      </c>
      <c r="F17" s="17" t="str">
        <f>IF(B17="","",SUMIF('Backlog del Producto'!L$8:L$130,Sprints!B17,'Backlog del Producto'!J$8:J$130))</f>
        <v/>
      </c>
      <c r="G17" s="18" t="str">
        <f t="shared" si="3"/>
        <v>Unplanned</v>
      </c>
      <c r="H17" s="20"/>
      <c r="I17" s="15"/>
    </row>
    <row r="18" spans="2:9" x14ac:dyDescent="0.25">
      <c r="B18" s="18"/>
      <c r="C18" s="18"/>
      <c r="D18" s="14"/>
      <c r="E18" s="22" t="s">
        <v>14</v>
      </c>
      <c r="F18" s="17">
        <f>SUMIF('Backlog del Producto'!L$8:L$130,"",'Backlog del Producto'!J$8:J$130)-SUMIF('Backlog del Producto'!M$8:M$130,"Eliminado",'Backlog del Producto'!J$8:J$130)</f>
        <v>0</v>
      </c>
      <c r="G18" s="18"/>
      <c r="H18" s="23"/>
      <c r="I18" s="16"/>
    </row>
  </sheetData>
  <phoneticPr fontId="2" type="noConversion"/>
  <conditionalFormatting sqref="F18">
    <cfRule type="expression" dxfId="27" priority="1" stopIfTrue="1">
      <formula>$G18="Planned"</formula>
    </cfRule>
    <cfRule type="expression" dxfId="26" priority="2" stopIfTrue="1">
      <formula>$G18="Ongoing"</formula>
    </cfRule>
  </conditionalFormatting>
  <conditionalFormatting sqref="G3:G17">
    <cfRule type="expression" dxfId="25" priority="3" stopIfTrue="1">
      <formula>$G3="Planned"</formula>
    </cfRule>
    <cfRule type="expression" dxfId="24" priority="4" stopIfTrue="1">
      <formula>$G3="Ongoing"</formula>
    </cfRule>
    <cfRule type="cellIs" dxfId="23" priority="5" stopIfTrue="1" operator="equal">
      <formula>"Unplanned"</formula>
    </cfRule>
  </conditionalFormatting>
  <conditionalFormatting sqref="H3:I17 B3:F17">
    <cfRule type="expression" dxfId="22" priority="6" stopIfTrue="1">
      <formula>OR($G3="Planned",$G3="Unplanned")</formula>
    </cfRule>
    <cfRule type="expression" dxfId="21" priority="7" stopIfTrue="1">
      <formula>$G3="Ongoing"</formula>
    </cfRule>
  </conditionalFormatting>
  <dataValidations count="1">
    <dataValidation type="list" allowBlank="1" showInputMessage="1" showErrorMessage="1" sqref="G3:G17" xr:uid="{00000000-0002-0000-0100-000000000000}">
      <formula1>"Planeado,En Progreso,Terminado,No planeado"</formula1>
    </dataValidation>
  </dataValidations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124E24CAF14D46B2DD609ACFD84C07" ma:contentTypeVersion="0" ma:contentTypeDescription="Create a new document." ma:contentTypeScope="" ma:versionID="9971b3b784abbe199b171e233c6d3889">
  <xsd:schema xmlns:xsd="http://www.w3.org/2001/XMLSchema" xmlns:xs="http://www.w3.org/2001/XMLSchema" xmlns:p="http://schemas.microsoft.com/office/2006/metadata/properties" xmlns:ns2="01eb4bd6-a8ff-4439-b7eb-fe0a650fbd8a" targetNamespace="http://schemas.microsoft.com/office/2006/metadata/properties" ma:root="true" ma:fieldsID="9a36e787f936117f0a8f63b0cc0186e7" ns2:_="">
    <xsd:import namespace="01eb4bd6-a8ff-4439-b7eb-fe0a650fbd8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eb4bd6-a8ff-4439-b7eb-fe0a650fbd8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entificador persistente" ma:description="Mantener el identificador al agregar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7ABD26-2811-4761-B5CB-14D5621085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eb4bd6-a8ff-4439-b7eb-fe0a650fbd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09A1246-53BD-4D90-8F0D-F04270C7DF7F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2926A6BD-B9D6-43A1-AC24-40D994CC1A5B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49A0D1E8-B670-4184-80F1-6022252F7605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01eb4bd6-a8ff-4439-b7eb-fe0a650fbd8a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customXml/itemProps5.xml><?xml version="1.0" encoding="utf-8"?>
<ds:datastoreItem xmlns:ds="http://schemas.openxmlformats.org/officeDocument/2006/customXml" ds:itemID="{2036E817-ADB2-4FBD-A97A-810F82FD54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Backlog del Producto</vt:lpstr>
      <vt:lpstr>Sprints</vt:lpstr>
      <vt:lpstr>'Backlog del Producto'!Área_de_impresión</vt:lpstr>
      <vt:lpstr>ProductBacklog</vt:lpstr>
      <vt:lpstr>Sprint</vt:lpstr>
      <vt:lpstr>Status</vt:lpstr>
    </vt:vector>
  </TitlesOfParts>
  <Company>SysOpen Digia Plc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Iteration Plans</dc:title>
  <dc:subject/>
  <dc:creator>hbravo-consultorge@innovacion.gob.pa</dc:creator>
  <dc:description>Template versio 1.0 Approval</dc:description>
  <cp:lastModifiedBy>andreezaclop@gmail.com</cp:lastModifiedBy>
  <cp:revision>1</cp:revision>
  <cp:lastPrinted>2026-04-27T16:05:19Z</cp:lastPrinted>
  <dcterms:created xsi:type="dcterms:W3CDTF">1998-06-05T11:20:44Z</dcterms:created>
  <dcterms:modified xsi:type="dcterms:W3CDTF">2026-04-27T16:11:12Z</dcterms:modified>
  <cp:category>SysOpen Digia Standard Template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dlc_DocId">
    <vt:lpwstr>FWJASSSE55TN-275-86</vt:lpwstr>
  </property>
  <property fmtid="{D5CDD505-2E9C-101B-9397-08002B2CF9AE}" pid="4" name="_dlc_DocIdItemGuid">
    <vt:lpwstr>c1f17344-0d84-4593-9f14-6d0a5edfb0d0</vt:lpwstr>
  </property>
  <property fmtid="{D5CDD505-2E9C-101B-9397-08002B2CF9AE}" pid="5" name="_dlc_DocIdUrl">
    <vt:lpwstr>https://portal.smrey.net/areas/it/_layouts/15/DocIdRedir.aspx?ID=FWJASSSE55TN-275-86, FWJASSSE55TN-275-86</vt:lpwstr>
  </property>
</Properties>
</file>