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e\Downloads\"/>
    </mc:Choice>
  </mc:AlternateContent>
  <xr:revisionPtr revIDLastSave="0" documentId="13_ncr:1_{DE123199-1F5C-4BDE-A31D-6A4E7E015114}" xr6:coauthVersionLast="47" xr6:coauthVersionMax="47" xr10:uidLastSave="{00000000-0000-0000-0000-000000000000}"/>
  <bookViews>
    <workbookView xWindow="-108" yWindow="-108" windowWidth="23256" windowHeight="13176" tabRatio="522" xr2:uid="{00000000-000D-0000-FFFF-FFFF00000000}"/>
  </bookViews>
  <sheets>
    <sheet name="Sprint 1" sheetId="25" r:id="rId1"/>
    <sheet name="Sprint 2" sheetId="28" r:id="rId2"/>
    <sheet name="Sprint 3" sheetId="30" r:id="rId3"/>
    <sheet name="Sprint 4" sheetId="31" r:id="rId4"/>
    <sheet name="Sprint 5" sheetId="32" r:id="rId5"/>
    <sheet name="Plantilla Sprint" sheetId="27" state="hidden" r:id="rId6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 localSheetId="5">'Plantilla Sprint'!$F$18</definedName>
    <definedName name="DoneDays" localSheetId="0">'Sprint 1'!$F$18</definedName>
    <definedName name="DoneDays" localSheetId="1">'Sprint 2'!$F$18</definedName>
    <definedName name="DoneDays" localSheetId="2">'Sprint 3'!$F$18</definedName>
    <definedName name="DoneDays" localSheetId="3">'Sprint 4'!$F$18</definedName>
    <definedName name="DoneDays" localSheetId="4">'Sprint 5'!$F$18</definedName>
    <definedName name="DoneDays">#REF!</definedName>
    <definedName name="ImplementationDays" localSheetId="5">'Plantilla Sprint'!$D$16</definedName>
    <definedName name="ImplementationDays" localSheetId="0">'Sprint 1'!$D$16</definedName>
    <definedName name="ImplementationDays" localSheetId="1">'Sprint 2'!$D$16</definedName>
    <definedName name="ImplementationDays" localSheetId="2">'Sprint 3'!$D$16</definedName>
    <definedName name="ImplementationDays" localSheetId="3">'Sprint 4'!$D$16</definedName>
    <definedName name="ImplementationDays" localSheetId="4">'Sprint 5'!$D$16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#REF!</definedName>
    <definedName name="RealizedSpeed">OFFSET(#REF!,1,0,#REF!,1)</definedName>
    <definedName name="RealValues" localSheetId="5">OFFSET('Plantilla Sprint'!$H$17,0,0,1,'Plantilla Sprint'!DoneDays)</definedName>
    <definedName name="RealValues" localSheetId="0">OFFSET('Sprint 1'!$H$17,0,0,1,'Sprint 1'!DoneDays)</definedName>
    <definedName name="RealValues" localSheetId="1">OFFSET('Sprint 2'!$H$17,0,0,1,'Sprint 2'!DoneDays)</definedName>
    <definedName name="RealValues" localSheetId="2">OFFSET('Sprint 3'!$H$17,0,0,1,'Sprint 3'!DoneDays)</definedName>
    <definedName name="RealValues" localSheetId="3">OFFSET('Sprint 4'!$H$17,0,0,1,'Sprint 4'!DoneDays)</definedName>
    <definedName name="RealValues" localSheetId="4">OFFSET('Sprint 5'!$H$17,0,0,1,'Sprint 5'!DoneDays)</definedName>
    <definedName name="Sprint">#REF!</definedName>
    <definedName name="SprintCount">#REF!</definedName>
    <definedName name="SprintsInTrend">#REF!</definedName>
    <definedName name="SprintTasks" localSheetId="5">'Plantilla Sprint'!$C$21:$AF$70</definedName>
    <definedName name="SprintTasks" localSheetId="0">'Sprint 1'!$C$21:$AF$70</definedName>
    <definedName name="SprintTasks" localSheetId="1">'Sprint 2'!$C$21:$AF$70</definedName>
    <definedName name="SprintTasks" localSheetId="2">'Sprint 3'!$C$21:$AF$70</definedName>
    <definedName name="SprintTasks" localSheetId="3">'Sprint 4'!$C$21:$AF$70</definedName>
    <definedName name="SprintTasks" localSheetId="4">'Sprint 5'!$C$21:$AF$70</definedName>
    <definedName name="SprintTasks">#REF!</definedName>
    <definedName name="Status">#REF!</definedName>
    <definedName name="StoryName">#REF!</definedName>
    <definedName name="TaskRows" localSheetId="5">'Plantilla Sprint'!$D$18</definedName>
    <definedName name="TaskRows" localSheetId="0">'Sprint 1'!$D$18</definedName>
    <definedName name="TaskRows" localSheetId="1">'Sprint 2'!$D$18</definedName>
    <definedName name="TaskRows" localSheetId="2">'Sprint 3'!$D$18</definedName>
    <definedName name="TaskRows" localSheetId="3">'Sprint 4'!$D$18</definedName>
    <definedName name="TaskRows" localSheetId="4">'Sprint 5'!$D$18</definedName>
    <definedName name="TaskRows">#REF!</definedName>
    <definedName name="TaskStatus" localSheetId="5">'Plantilla Sprint'!$F$21:$F$65</definedName>
    <definedName name="TaskStatus" localSheetId="0">'Sprint 1'!$F$21:$F$65</definedName>
    <definedName name="TaskStatus" localSheetId="1">'Sprint 2'!$F$21:$F$65</definedName>
    <definedName name="TaskStatus" localSheetId="2">'Sprint 3'!$F$21:$F$65</definedName>
    <definedName name="TaskStatus" localSheetId="3">'Sprint 4'!$F$21:$F$65</definedName>
    <definedName name="TaskStatus" localSheetId="4">'Sprint 5'!$F$21:$F$65</definedName>
    <definedName name="TaskStatus">#REF!</definedName>
    <definedName name="TaskStoryID" localSheetId="5">'Plantilla Sprint'!$D$21:$D$60</definedName>
    <definedName name="TaskStoryID" localSheetId="0">'Sprint 1'!$D$21:$D$60</definedName>
    <definedName name="TaskStoryID" localSheetId="1">'Sprint 2'!$D$21:$D$60</definedName>
    <definedName name="TaskStoryID" localSheetId="2">'Sprint 3'!$D$21:$D$60</definedName>
    <definedName name="TaskStoryID" localSheetId="3">'Sprint 4'!$D$21:$D$60</definedName>
    <definedName name="TaskStoryID" localSheetId="4">'Sprint 5'!$D$21:$D$60</definedName>
    <definedName name="TaskStoryID">#REF!</definedName>
    <definedName name="TotalEffort" localSheetId="5">'Plantilla Sprint'!$G$17</definedName>
    <definedName name="TotalEffort" localSheetId="0">'Sprint 1'!$G$17</definedName>
    <definedName name="TotalEffort" localSheetId="1">'Sprint 2'!$G$17</definedName>
    <definedName name="TotalEffort" localSheetId="2">'Sprint 3'!$G$17</definedName>
    <definedName name="TotalEffort" localSheetId="3">'Sprint 4'!$G$17</definedName>
    <definedName name="TotalEffort" localSheetId="4">'Sprint 5'!$G$17</definedName>
    <definedName name="TotalEffort">#REF!</definedName>
    <definedName name="TrendDays" localSheetId="5">'Plantilla Sprint'!$F$20</definedName>
    <definedName name="TrendDays" localSheetId="0">'Sprint 1'!$F$20</definedName>
    <definedName name="TrendDays" localSheetId="1">'Sprint 2'!$F$20</definedName>
    <definedName name="TrendDays" localSheetId="2">'Sprint 3'!$F$20</definedName>
    <definedName name="TrendDays" localSheetId="3">'Sprint 4'!$F$20</definedName>
    <definedName name="TrendDays" localSheetId="4">'Sprint 5'!$F$20</definedName>
    <definedName name="TrendDays">#REF!</definedName>
    <definedName name="TrendOffset">#REF!</definedName>
    <definedName name="TrendSprintCount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31" l="1"/>
  <c r="H23" i="32" l="1"/>
  <c r="F71" i="32"/>
  <c r="H66" i="32"/>
  <c r="H65" i="32"/>
  <c r="H64" i="32"/>
  <c r="H63" i="32"/>
  <c r="F63" i="32"/>
  <c r="H62" i="32"/>
  <c r="F62" i="32"/>
  <c r="H61" i="32"/>
  <c r="F61" i="32"/>
  <c r="H60" i="32"/>
  <c r="F60" i="32"/>
  <c r="H59" i="32"/>
  <c r="F59" i="32"/>
  <c r="H58" i="32"/>
  <c r="F58" i="32"/>
  <c r="H57" i="32"/>
  <c r="F57" i="32"/>
  <c r="H56" i="32"/>
  <c r="F56" i="32"/>
  <c r="H55" i="32"/>
  <c r="F55" i="32"/>
  <c r="H54" i="32"/>
  <c r="F54" i="32"/>
  <c r="H53" i="32"/>
  <c r="F53" i="32"/>
  <c r="H52" i="32"/>
  <c r="F52" i="32"/>
  <c r="H51" i="32"/>
  <c r="F51" i="32"/>
  <c r="H50" i="32"/>
  <c r="F50" i="32"/>
  <c r="H49" i="32"/>
  <c r="F49" i="32"/>
  <c r="H48" i="32"/>
  <c r="F48" i="32"/>
  <c r="H47" i="32"/>
  <c r="F47" i="32"/>
  <c r="H46" i="32"/>
  <c r="F46" i="32"/>
  <c r="H45" i="32"/>
  <c r="F45" i="32"/>
  <c r="H44" i="32"/>
  <c r="F44" i="32"/>
  <c r="H43" i="32"/>
  <c r="F43" i="32"/>
  <c r="H42" i="32"/>
  <c r="F42" i="32"/>
  <c r="H41" i="32"/>
  <c r="F41" i="32"/>
  <c r="H40" i="32"/>
  <c r="F40" i="32"/>
  <c r="H39" i="32"/>
  <c r="F39" i="32"/>
  <c r="H38" i="32"/>
  <c r="F38" i="32"/>
  <c r="H37" i="32"/>
  <c r="F37" i="32"/>
  <c r="H36" i="32"/>
  <c r="F36" i="32"/>
  <c r="H35" i="32"/>
  <c r="F35" i="32"/>
  <c r="H34" i="32"/>
  <c r="F34" i="32"/>
  <c r="H33" i="32"/>
  <c r="F33" i="32"/>
  <c r="H32" i="32"/>
  <c r="F32" i="32"/>
  <c r="H31" i="32"/>
  <c r="H30" i="32"/>
  <c r="H29" i="32"/>
  <c r="H28" i="32"/>
  <c r="H27" i="32"/>
  <c r="H26" i="32"/>
  <c r="H25" i="32"/>
  <c r="H24" i="32"/>
  <c r="H22" i="32"/>
  <c r="I21" i="32"/>
  <c r="I62" i="32" s="1"/>
  <c r="D18" i="32"/>
  <c r="AB17" i="32" s="1"/>
  <c r="F71" i="31"/>
  <c r="H66" i="31"/>
  <c r="H65" i="31"/>
  <c r="H64" i="31"/>
  <c r="H63" i="31"/>
  <c r="F63" i="31"/>
  <c r="H62" i="31"/>
  <c r="F62" i="31"/>
  <c r="H61" i="31"/>
  <c r="F61" i="31"/>
  <c r="H60" i="31"/>
  <c r="F60" i="31"/>
  <c r="H59" i="31"/>
  <c r="F59" i="31"/>
  <c r="H58" i="31"/>
  <c r="F58" i="31"/>
  <c r="H57" i="31"/>
  <c r="F57" i="31"/>
  <c r="H56" i="31"/>
  <c r="F56" i="31"/>
  <c r="H55" i="31"/>
  <c r="F55" i="31"/>
  <c r="H54" i="31"/>
  <c r="F54" i="31"/>
  <c r="H53" i="31"/>
  <c r="F53" i="31"/>
  <c r="H52" i="31"/>
  <c r="F52" i="31"/>
  <c r="H51" i="31"/>
  <c r="F51" i="31"/>
  <c r="H50" i="31"/>
  <c r="F50" i="31"/>
  <c r="H49" i="31"/>
  <c r="F49" i="31"/>
  <c r="H48" i="31"/>
  <c r="F48" i="31"/>
  <c r="H47" i="31"/>
  <c r="F47" i="31"/>
  <c r="H46" i="31"/>
  <c r="F46" i="31"/>
  <c r="H45" i="31"/>
  <c r="F45" i="31"/>
  <c r="H44" i="31"/>
  <c r="F44" i="31"/>
  <c r="H43" i="31"/>
  <c r="F43" i="31"/>
  <c r="H42" i="31"/>
  <c r="F42" i="31"/>
  <c r="H41" i="31"/>
  <c r="F41" i="31"/>
  <c r="H40" i="31"/>
  <c r="F40" i="31"/>
  <c r="H39" i="31"/>
  <c r="F39" i="31"/>
  <c r="H38" i="31"/>
  <c r="F38" i="31"/>
  <c r="H37" i="31"/>
  <c r="F37" i="31"/>
  <c r="H36" i="31"/>
  <c r="F36" i="31"/>
  <c r="H35" i="31"/>
  <c r="F35" i="31"/>
  <c r="H34" i="31"/>
  <c r="F34" i="31"/>
  <c r="H33" i="31"/>
  <c r="F33" i="31"/>
  <c r="H32" i="31"/>
  <c r="F32" i="31"/>
  <c r="H31" i="31"/>
  <c r="F31" i="31"/>
  <c r="H30" i="31"/>
  <c r="F30" i="31"/>
  <c r="H29" i="31"/>
  <c r="F29" i="31"/>
  <c r="H28" i="31"/>
  <c r="F28" i="31"/>
  <c r="H27" i="31"/>
  <c r="F27" i="31"/>
  <c r="H26" i="31"/>
  <c r="H25" i="31"/>
  <c r="H24" i="31"/>
  <c r="H22" i="31"/>
  <c r="I21" i="31"/>
  <c r="J21" i="31" s="1"/>
  <c r="D18" i="31"/>
  <c r="AA17" i="31" s="1"/>
  <c r="F71" i="30"/>
  <c r="H66" i="30"/>
  <c r="H65" i="30"/>
  <c r="H64" i="30"/>
  <c r="H63" i="30"/>
  <c r="F63" i="30"/>
  <c r="H62" i="30"/>
  <c r="F62" i="30"/>
  <c r="H61" i="30"/>
  <c r="F61" i="30"/>
  <c r="H60" i="30"/>
  <c r="F60" i="30"/>
  <c r="H59" i="30"/>
  <c r="F59" i="30"/>
  <c r="H58" i="30"/>
  <c r="F58" i="30"/>
  <c r="H57" i="30"/>
  <c r="F57" i="30"/>
  <c r="H56" i="30"/>
  <c r="F56" i="30"/>
  <c r="H55" i="30"/>
  <c r="F55" i="30"/>
  <c r="H54" i="30"/>
  <c r="F54" i="30"/>
  <c r="H53" i="30"/>
  <c r="F53" i="30"/>
  <c r="H52" i="30"/>
  <c r="F52" i="30"/>
  <c r="H51" i="30"/>
  <c r="F51" i="30"/>
  <c r="H50" i="30"/>
  <c r="F50" i="30"/>
  <c r="H49" i="30"/>
  <c r="F49" i="30"/>
  <c r="H48" i="30"/>
  <c r="F48" i="30"/>
  <c r="H47" i="30"/>
  <c r="F47" i="30"/>
  <c r="H46" i="30"/>
  <c r="F46" i="30"/>
  <c r="H45" i="30"/>
  <c r="F45" i="30"/>
  <c r="H44" i="30"/>
  <c r="F44" i="30"/>
  <c r="H43" i="30"/>
  <c r="F43" i="30"/>
  <c r="H42" i="30"/>
  <c r="F42" i="30"/>
  <c r="H41" i="30"/>
  <c r="F41" i="30"/>
  <c r="H40" i="30"/>
  <c r="F40" i="30"/>
  <c r="H39" i="30"/>
  <c r="F39" i="30"/>
  <c r="H38" i="30"/>
  <c r="F38" i="30"/>
  <c r="H37" i="30"/>
  <c r="F37" i="30"/>
  <c r="H36" i="30"/>
  <c r="F36" i="30"/>
  <c r="H35" i="30"/>
  <c r="F35" i="30"/>
  <c r="H34" i="30"/>
  <c r="F34" i="30"/>
  <c r="H33" i="30"/>
  <c r="F33" i="30"/>
  <c r="H32" i="30"/>
  <c r="F32" i="30"/>
  <c r="H31" i="30"/>
  <c r="H30" i="30"/>
  <c r="H29" i="30"/>
  <c r="H28" i="30"/>
  <c r="H26" i="30"/>
  <c r="H25" i="30"/>
  <c r="H24" i="30"/>
  <c r="H23" i="30"/>
  <c r="H22" i="30"/>
  <c r="I21" i="30"/>
  <c r="I62" i="30" s="1"/>
  <c r="D18" i="30"/>
  <c r="AC17" i="30" s="1"/>
  <c r="H26" i="25"/>
  <c r="H27" i="25"/>
  <c r="H28" i="25"/>
  <c r="F71" i="28"/>
  <c r="H66" i="28"/>
  <c r="H65" i="28"/>
  <c r="H64" i="28"/>
  <c r="H63" i="28"/>
  <c r="F63" i="28"/>
  <c r="H62" i="28"/>
  <c r="F62" i="28"/>
  <c r="H61" i="28"/>
  <c r="F61" i="28"/>
  <c r="H60" i="28"/>
  <c r="F60" i="28"/>
  <c r="H59" i="28"/>
  <c r="F59" i="28"/>
  <c r="H58" i="28"/>
  <c r="F58" i="28"/>
  <c r="H57" i="28"/>
  <c r="F57" i="28"/>
  <c r="H56" i="28"/>
  <c r="F56" i="28"/>
  <c r="H55" i="28"/>
  <c r="F55" i="28"/>
  <c r="H54" i="28"/>
  <c r="F54" i="28"/>
  <c r="H53" i="28"/>
  <c r="F53" i="28"/>
  <c r="H52" i="28"/>
  <c r="F52" i="28"/>
  <c r="H51" i="28"/>
  <c r="F51" i="28"/>
  <c r="H50" i="28"/>
  <c r="F50" i="28"/>
  <c r="H49" i="28"/>
  <c r="F49" i="28"/>
  <c r="H48" i="28"/>
  <c r="H47" i="28"/>
  <c r="H46" i="28"/>
  <c r="H45" i="28"/>
  <c r="H44" i="28"/>
  <c r="F44" i="28"/>
  <c r="H43" i="28"/>
  <c r="F43" i="28"/>
  <c r="H42" i="28"/>
  <c r="F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I21" i="28"/>
  <c r="I63" i="28" s="1"/>
  <c r="D18" i="28"/>
  <c r="H22" i="25"/>
  <c r="H23" i="25"/>
  <c r="H24" i="25"/>
  <c r="H25" i="25"/>
  <c r="F71" i="27"/>
  <c r="H66" i="27"/>
  <c r="H65" i="27"/>
  <c r="H64" i="27"/>
  <c r="H63" i="27"/>
  <c r="F63" i="27"/>
  <c r="H62" i="27"/>
  <c r="F62" i="27"/>
  <c r="H61" i="27"/>
  <c r="F61" i="27"/>
  <c r="H60" i="27"/>
  <c r="F60" i="27"/>
  <c r="H59" i="27"/>
  <c r="F59" i="27"/>
  <c r="H58" i="27"/>
  <c r="F58" i="27"/>
  <c r="H57" i="27"/>
  <c r="F57" i="27"/>
  <c r="H56" i="27"/>
  <c r="F56" i="27"/>
  <c r="H55" i="27"/>
  <c r="F55" i="27"/>
  <c r="H54" i="27"/>
  <c r="F54" i="27"/>
  <c r="H53" i="27"/>
  <c r="F53" i="27"/>
  <c r="H52" i="27"/>
  <c r="F52" i="27"/>
  <c r="H51" i="27"/>
  <c r="F51" i="27"/>
  <c r="H50" i="27"/>
  <c r="F50" i="27"/>
  <c r="H49" i="27"/>
  <c r="F49" i="27"/>
  <c r="H48" i="27"/>
  <c r="F48" i="27"/>
  <c r="H47" i="27"/>
  <c r="F47" i="27"/>
  <c r="H46" i="27"/>
  <c r="F46" i="27"/>
  <c r="H45" i="27"/>
  <c r="F45" i="27"/>
  <c r="H44" i="27"/>
  <c r="F44" i="27"/>
  <c r="H43" i="27"/>
  <c r="F43" i="27"/>
  <c r="H42" i="27"/>
  <c r="F42" i="27"/>
  <c r="H41" i="27"/>
  <c r="F41" i="27"/>
  <c r="H40" i="27"/>
  <c r="F40" i="27"/>
  <c r="H39" i="27"/>
  <c r="F39" i="27"/>
  <c r="H38" i="27"/>
  <c r="F38" i="27"/>
  <c r="H37" i="27"/>
  <c r="F37" i="27"/>
  <c r="H36" i="27"/>
  <c r="F36" i="27"/>
  <c r="H35" i="27"/>
  <c r="F35" i="27"/>
  <c r="H34" i="27"/>
  <c r="F34" i="27"/>
  <c r="H33" i="27"/>
  <c r="F33" i="27"/>
  <c r="H32" i="27"/>
  <c r="F32" i="27"/>
  <c r="H31" i="27"/>
  <c r="F31" i="27"/>
  <c r="H30" i="27"/>
  <c r="F30" i="27"/>
  <c r="H29" i="27"/>
  <c r="F29" i="27"/>
  <c r="H28" i="27"/>
  <c r="F28" i="27"/>
  <c r="H27" i="27"/>
  <c r="F27" i="27"/>
  <c r="H26" i="27"/>
  <c r="F26" i="27"/>
  <c r="H25" i="27"/>
  <c r="F25" i="27"/>
  <c r="H24" i="27"/>
  <c r="F24" i="27"/>
  <c r="H23" i="27"/>
  <c r="F23" i="27"/>
  <c r="H22" i="27"/>
  <c r="F22" i="27"/>
  <c r="I21" i="27"/>
  <c r="I62" i="27"/>
  <c r="D18" i="27"/>
  <c r="AB17" i="27"/>
  <c r="AD17" i="27"/>
  <c r="AC17" i="27"/>
  <c r="Z17" i="27"/>
  <c r="Y17" i="27"/>
  <c r="W17" i="27"/>
  <c r="V17" i="27"/>
  <c r="U17" i="27"/>
  <c r="S17" i="27"/>
  <c r="R17" i="27"/>
  <c r="Q17" i="27"/>
  <c r="O17" i="27"/>
  <c r="N17" i="27"/>
  <c r="M17" i="27"/>
  <c r="K17" i="27"/>
  <c r="J17" i="27"/>
  <c r="I17" i="27"/>
  <c r="G17" i="27"/>
  <c r="H18" i="27" s="1"/>
  <c r="F71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I21" i="25"/>
  <c r="D18" i="25"/>
  <c r="G17" i="25" s="1"/>
  <c r="I62" i="28"/>
  <c r="J21" i="28"/>
  <c r="J62" i="28" s="1"/>
  <c r="AA17" i="27"/>
  <c r="L17" i="27"/>
  <c r="P17" i="27"/>
  <c r="T17" i="27"/>
  <c r="X17" i="27"/>
  <c r="I63" i="27"/>
  <c r="I18" i="27"/>
  <c r="J21" i="27"/>
  <c r="H17" i="27"/>
  <c r="J63" i="27"/>
  <c r="K21" i="27"/>
  <c r="K18" i="27" s="1"/>
  <c r="J62" i="27"/>
  <c r="J18" i="27"/>
  <c r="K62" i="27"/>
  <c r="L21" i="27"/>
  <c r="L18" i="27" s="1"/>
  <c r="I63" i="32" l="1"/>
  <c r="I62" i="31"/>
  <c r="K21" i="28"/>
  <c r="J63" i="28"/>
  <c r="AC17" i="32"/>
  <c r="U17" i="32"/>
  <c r="J17" i="32"/>
  <c r="M17" i="32"/>
  <c r="N17" i="32"/>
  <c r="W17" i="32"/>
  <c r="AA17" i="32"/>
  <c r="U17" i="31"/>
  <c r="M17" i="31"/>
  <c r="Q17" i="32"/>
  <c r="R17" i="32"/>
  <c r="G17" i="32"/>
  <c r="H18" i="32" s="1"/>
  <c r="Y17" i="32"/>
  <c r="I17" i="32"/>
  <c r="S17" i="32"/>
  <c r="AD17" i="32"/>
  <c r="K17" i="32"/>
  <c r="V17" i="32"/>
  <c r="O17" i="32"/>
  <c r="Z17" i="32"/>
  <c r="H17" i="32"/>
  <c r="P17" i="32"/>
  <c r="X17" i="32"/>
  <c r="J21" i="32"/>
  <c r="L17" i="32"/>
  <c r="T17" i="32"/>
  <c r="AC17" i="31"/>
  <c r="O17" i="31"/>
  <c r="N17" i="31"/>
  <c r="AD17" i="31"/>
  <c r="T17" i="31"/>
  <c r="V17" i="31"/>
  <c r="G17" i="31"/>
  <c r="H18" i="31" s="1"/>
  <c r="W17" i="31"/>
  <c r="L17" i="31"/>
  <c r="AB17" i="31"/>
  <c r="J62" i="31"/>
  <c r="K21" i="31"/>
  <c r="J63" i="31"/>
  <c r="I63" i="31"/>
  <c r="H17" i="31"/>
  <c r="P17" i="31"/>
  <c r="X17" i="31"/>
  <c r="J17" i="31"/>
  <c r="R17" i="31"/>
  <c r="Z17" i="31"/>
  <c r="I17" i="31"/>
  <c r="Q17" i="31"/>
  <c r="Y17" i="31"/>
  <c r="K17" i="31"/>
  <c r="S17" i="31"/>
  <c r="O17" i="30"/>
  <c r="AA17" i="30"/>
  <c r="Q17" i="30"/>
  <c r="AD17" i="30"/>
  <c r="R17" i="30"/>
  <c r="G17" i="30"/>
  <c r="H18" i="30" s="1"/>
  <c r="S17" i="30"/>
  <c r="I17" i="30"/>
  <c r="V17" i="30"/>
  <c r="J17" i="30"/>
  <c r="W17" i="30"/>
  <c r="K17" i="30"/>
  <c r="Y17" i="30"/>
  <c r="N17" i="30"/>
  <c r="Z17" i="30"/>
  <c r="I63" i="30"/>
  <c r="H17" i="30"/>
  <c r="P17" i="30"/>
  <c r="X17" i="30"/>
  <c r="J21" i="30"/>
  <c r="L17" i="30"/>
  <c r="T17" i="30"/>
  <c r="AB17" i="30"/>
  <c r="M17" i="30"/>
  <c r="U17" i="30"/>
  <c r="H17" i="28"/>
  <c r="M17" i="28"/>
  <c r="N17" i="28"/>
  <c r="S17" i="28"/>
  <c r="T17" i="28"/>
  <c r="R17" i="28"/>
  <c r="AD17" i="28"/>
  <c r="K17" i="28"/>
  <c r="V17" i="28"/>
  <c r="AB17" i="28"/>
  <c r="G17" i="28"/>
  <c r="J18" i="28" s="1"/>
  <c r="L17" i="28"/>
  <c r="Y17" i="28"/>
  <c r="O17" i="28"/>
  <c r="Z17" i="28"/>
  <c r="X17" i="28"/>
  <c r="P17" i="28"/>
  <c r="Q17" i="28"/>
  <c r="I17" i="28"/>
  <c r="W17" i="28"/>
  <c r="AC17" i="28"/>
  <c r="AA17" i="28"/>
  <c r="U17" i="28"/>
  <c r="J17" i="28"/>
  <c r="J21" i="25"/>
  <c r="J18" i="25" s="1"/>
  <c r="I18" i="25"/>
  <c r="W17" i="25"/>
  <c r="O17" i="25"/>
  <c r="T17" i="25"/>
  <c r="AB17" i="25"/>
  <c r="V17" i="25"/>
  <c r="N17" i="25"/>
  <c r="AD17" i="25"/>
  <c r="U17" i="25"/>
  <c r="K63" i="27"/>
  <c r="Z17" i="25"/>
  <c r="Q17" i="25"/>
  <c r="L63" i="27"/>
  <c r="X17" i="25"/>
  <c r="R17" i="25"/>
  <c r="AA17" i="25"/>
  <c r="M17" i="25"/>
  <c r="L62" i="27"/>
  <c r="M21" i="27"/>
  <c r="P17" i="25"/>
  <c r="J17" i="25"/>
  <c r="K17" i="25"/>
  <c r="L17" i="25"/>
  <c r="AC17" i="25"/>
  <c r="S17" i="25"/>
  <c r="I17" i="25"/>
  <c r="H17" i="25"/>
  <c r="Y17" i="25"/>
  <c r="H18" i="25"/>
  <c r="L21" i="28" l="1"/>
  <c r="L18" i="28" s="1"/>
  <c r="K63" i="28"/>
  <c r="K62" i="28"/>
  <c r="I18" i="32"/>
  <c r="J18" i="32"/>
  <c r="K21" i="32"/>
  <c r="J62" i="32"/>
  <c r="J63" i="32"/>
  <c r="I18" i="31"/>
  <c r="J18" i="31"/>
  <c r="K18" i="31"/>
  <c r="K63" i="31"/>
  <c r="L21" i="31"/>
  <c r="K62" i="31"/>
  <c r="I18" i="30"/>
  <c r="J18" i="30"/>
  <c r="J62" i="30"/>
  <c r="K21" i="30"/>
  <c r="J63" i="30"/>
  <c r="K18" i="28"/>
  <c r="I18" i="28"/>
  <c r="H18" i="28"/>
  <c r="K21" i="25"/>
  <c r="N21" i="27"/>
  <c r="M18" i="27"/>
  <c r="M62" i="27"/>
  <c r="M63" i="27"/>
  <c r="L62" i="28" l="1"/>
  <c r="L63" i="28"/>
  <c r="M21" i="28"/>
  <c r="L21" i="32"/>
  <c r="K18" i="32"/>
  <c r="K63" i="32"/>
  <c r="K62" i="32"/>
  <c r="M21" i="31"/>
  <c r="L63" i="31"/>
  <c r="L18" i="31"/>
  <c r="L62" i="31"/>
  <c r="L21" i="30"/>
  <c r="K63" i="30"/>
  <c r="K62" i="30"/>
  <c r="K18" i="30"/>
  <c r="L21" i="25"/>
  <c r="K18" i="25"/>
  <c r="N18" i="27"/>
  <c r="N63" i="27"/>
  <c r="O21" i="27"/>
  <c r="N62" i="27"/>
  <c r="M63" i="28" l="1"/>
  <c r="M62" i="28"/>
  <c r="M18" i="28"/>
  <c r="N21" i="28"/>
  <c r="M21" i="32"/>
  <c r="L63" i="32"/>
  <c r="L18" i="32"/>
  <c r="L62" i="32"/>
  <c r="M63" i="31"/>
  <c r="M62" i="31"/>
  <c r="M18" i="31"/>
  <c r="N21" i="31"/>
  <c r="M21" i="30"/>
  <c r="L63" i="30"/>
  <c r="L62" i="30"/>
  <c r="L18" i="30"/>
  <c r="M21" i="25"/>
  <c r="L18" i="25"/>
  <c r="O18" i="27"/>
  <c r="O63" i="27"/>
  <c r="P21" i="27"/>
  <c r="O62" i="27"/>
  <c r="N62" i="28" l="1"/>
  <c r="N63" i="28"/>
  <c r="O21" i="28"/>
  <c r="N18" i="28"/>
  <c r="N21" i="32"/>
  <c r="M63" i="32"/>
  <c r="M62" i="32"/>
  <c r="M18" i="32"/>
  <c r="O21" i="31"/>
  <c r="N18" i="31"/>
  <c r="N62" i="31"/>
  <c r="N63" i="31"/>
  <c r="M63" i="30"/>
  <c r="N21" i="30"/>
  <c r="M62" i="30"/>
  <c r="M18" i="30"/>
  <c r="M18" i="25"/>
  <c r="N21" i="25"/>
  <c r="P18" i="27"/>
  <c r="P62" i="27"/>
  <c r="P63" i="27"/>
  <c r="Q21" i="27"/>
  <c r="O62" i="28" l="1"/>
  <c r="P21" i="28"/>
  <c r="O18" i="28"/>
  <c r="O63" i="28"/>
  <c r="N63" i="32"/>
  <c r="O21" i="32"/>
  <c r="N62" i="32"/>
  <c r="N18" i="32"/>
  <c r="P21" i="31"/>
  <c r="O63" i="31"/>
  <c r="O62" i="31"/>
  <c r="O18" i="31"/>
  <c r="O21" i="30"/>
  <c r="N63" i="30"/>
  <c r="N62" i="30"/>
  <c r="N18" i="30"/>
  <c r="O21" i="25"/>
  <c r="N18" i="25"/>
  <c r="Q62" i="27"/>
  <c r="Q63" i="27"/>
  <c r="R21" i="27"/>
  <c r="Q18" i="27"/>
  <c r="P18" i="28" l="1"/>
  <c r="Q21" i="28"/>
  <c r="P62" i="28"/>
  <c r="P63" i="28"/>
  <c r="O63" i="32"/>
  <c r="O62" i="32"/>
  <c r="O18" i="32"/>
  <c r="P21" i="32"/>
  <c r="P63" i="31"/>
  <c r="P18" i="31"/>
  <c r="Q21" i="31"/>
  <c r="P62" i="31"/>
  <c r="O63" i="30"/>
  <c r="O62" i="30"/>
  <c r="P21" i="30"/>
  <c r="O18" i="30"/>
  <c r="P21" i="25"/>
  <c r="O18" i="25"/>
  <c r="R63" i="27"/>
  <c r="R18" i="27"/>
  <c r="R62" i="27"/>
  <c r="S21" i="27"/>
  <c r="Q18" i="28" l="1"/>
  <c r="Q62" i="28"/>
  <c r="Q63" i="28"/>
  <c r="R21" i="28"/>
  <c r="P62" i="32"/>
  <c r="P18" i="32"/>
  <c r="P63" i="32"/>
  <c r="Q21" i="32"/>
  <c r="Q62" i="31"/>
  <c r="Q18" i="31"/>
  <c r="R21" i="31"/>
  <c r="Q63" i="31"/>
  <c r="P18" i="30"/>
  <c r="P62" i="30"/>
  <c r="P63" i="30"/>
  <c r="Q21" i="30"/>
  <c r="Q21" i="25"/>
  <c r="P18" i="25"/>
  <c r="T21" i="27"/>
  <c r="S18" i="27"/>
  <c r="S63" i="27"/>
  <c r="S62" i="27"/>
  <c r="S21" i="28" l="1"/>
  <c r="R18" i="28"/>
  <c r="R62" i="28"/>
  <c r="R63" i="28"/>
  <c r="Q62" i="32"/>
  <c r="Q18" i="32"/>
  <c r="R21" i="32"/>
  <c r="Q63" i="32"/>
  <c r="R62" i="31"/>
  <c r="S21" i="31"/>
  <c r="R18" i="31"/>
  <c r="R63" i="31"/>
  <c r="Q62" i="30"/>
  <c r="Q18" i="30"/>
  <c r="R21" i="30"/>
  <c r="Q63" i="30"/>
  <c r="Q18" i="25"/>
  <c r="R21" i="25"/>
  <c r="T18" i="27"/>
  <c r="T63" i="27"/>
  <c r="U21" i="27"/>
  <c r="T62" i="27"/>
  <c r="S62" i="28" l="1"/>
  <c r="S18" i="28"/>
  <c r="S63" i="28"/>
  <c r="T21" i="28"/>
  <c r="R62" i="32"/>
  <c r="S21" i="32"/>
  <c r="R18" i="32"/>
  <c r="R63" i="32"/>
  <c r="S18" i="31"/>
  <c r="S63" i="31"/>
  <c r="T21" i="31"/>
  <c r="S62" i="31"/>
  <c r="R18" i="30"/>
  <c r="R62" i="30"/>
  <c r="S21" i="30"/>
  <c r="R63" i="30"/>
  <c r="S21" i="25"/>
  <c r="T21" i="25" s="1"/>
  <c r="R18" i="25"/>
  <c r="V21" i="27"/>
  <c r="U63" i="27"/>
  <c r="U18" i="27"/>
  <c r="U62" i="27"/>
  <c r="U21" i="28" l="1"/>
  <c r="T63" i="28"/>
  <c r="T62" i="28"/>
  <c r="T18" i="28"/>
  <c r="T21" i="32"/>
  <c r="S63" i="32"/>
  <c r="S62" i="32"/>
  <c r="S18" i="32"/>
  <c r="U21" i="31"/>
  <c r="T63" i="31"/>
  <c r="T62" i="31"/>
  <c r="T18" i="31"/>
  <c r="S18" i="30"/>
  <c r="T21" i="30"/>
  <c r="S63" i="30"/>
  <c r="S62" i="30"/>
  <c r="S63" i="25"/>
  <c r="S62" i="25"/>
  <c r="S18" i="25"/>
  <c r="V18" i="27"/>
  <c r="V63" i="27"/>
  <c r="V62" i="27"/>
  <c r="W21" i="27"/>
  <c r="U62" i="28" l="1"/>
  <c r="U63" i="28"/>
  <c r="U18" i="28"/>
  <c r="V21" i="28"/>
  <c r="U21" i="32"/>
  <c r="T63" i="32"/>
  <c r="T18" i="32"/>
  <c r="T62" i="32"/>
  <c r="U63" i="31"/>
  <c r="U62" i="31"/>
  <c r="V21" i="31"/>
  <c r="U18" i="31"/>
  <c r="U21" i="30"/>
  <c r="T63" i="30"/>
  <c r="T62" i="30"/>
  <c r="T18" i="30"/>
  <c r="T62" i="25"/>
  <c r="U21" i="25"/>
  <c r="T63" i="25"/>
  <c r="T18" i="25"/>
  <c r="X21" i="27"/>
  <c r="W63" i="27"/>
  <c r="W18" i="27"/>
  <c r="W62" i="27"/>
  <c r="V63" i="28" l="1"/>
  <c r="V62" i="28"/>
  <c r="W21" i="28"/>
  <c r="V18" i="28"/>
  <c r="V21" i="32"/>
  <c r="U63" i="32"/>
  <c r="U62" i="32"/>
  <c r="U18" i="32"/>
  <c r="W21" i="31"/>
  <c r="V63" i="31"/>
  <c r="V62" i="31"/>
  <c r="V18" i="31"/>
  <c r="U63" i="30"/>
  <c r="V21" i="30"/>
  <c r="U62" i="30"/>
  <c r="U18" i="30"/>
  <c r="U62" i="25"/>
  <c r="U18" i="25"/>
  <c r="U63" i="25"/>
  <c r="V21" i="25"/>
  <c r="X18" i="27"/>
  <c r="X62" i="27"/>
  <c r="X63" i="27"/>
  <c r="Y21" i="27"/>
  <c r="X21" i="28" l="1"/>
  <c r="W63" i="28"/>
  <c r="W62" i="28"/>
  <c r="W18" i="28"/>
  <c r="V63" i="32"/>
  <c r="V62" i="32"/>
  <c r="V18" i="32"/>
  <c r="W21" i="32"/>
  <c r="X21" i="31"/>
  <c r="W62" i="31"/>
  <c r="W63" i="31"/>
  <c r="W18" i="31"/>
  <c r="W21" i="30"/>
  <c r="V63" i="30"/>
  <c r="V62" i="30"/>
  <c r="V18" i="30"/>
  <c r="W21" i="25"/>
  <c r="V18" i="25"/>
  <c r="V63" i="25"/>
  <c r="V62" i="25"/>
  <c r="Z21" i="27"/>
  <c r="Y63" i="27"/>
  <c r="Y62" i="27"/>
  <c r="Y18" i="27"/>
  <c r="Y21" i="28" l="1"/>
  <c r="X63" i="28"/>
  <c r="X62" i="28"/>
  <c r="X18" i="28"/>
  <c r="W63" i="32"/>
  <c r="W62" i="32"/>
  <c r="W18" i="32"/>
  <c r="X21" i="32"/>
  <c r="X63" i="31"/>
  <c r="X18" i="31"/>
  <c r="Y21" i="31"/>
  <c r="X62" i="31"/>
  <c r="W63" i="30"/>
  <c r="W62" i="30"/>
  <c r="W18" i="30"/>
  <c r="X21" i="30"/>
  <c r="X21" i="25"/>
  <c r="W18" i="25"/>
  <c r="W62" i="25"/>
  <c r="W63" i="25"/>
  <c r="Z63" i="27"/>
  <c r="Z18" i="27"/>
  <c r="Z62" i="27"/>
  <c r="AA21" i="27"/>
  <c r="Y18" i="28" l="1"/>
  <c r="Y63" i="28"/>
  <c r="Y62" i="28"/>
  <c r="Z21" i="28"/>
  <c r="X62" i="32"/>
  <c r="X18" i="32"/>
  <c r="X63" i="32"/>
  <c r="Y21" i="32"/>
  <c r="Y62" i="31"/>
  <c r="Y18" i="31"/>
  <c r="Z21" i="31"/>
  <c r="Y63" i="31"/>
  <c r="X62" i="30"/>
  <c r="X18" i="30"/>
  <c r="X63" i="30"/>
  <c r="Y21" i="30"/>
  <c r="Y21" i="25"/>
  <c r="X63" i="25"/>
  <c r="X62" i="25"/>
  <c r="X18" i="25"/>
  <c r="AA18" i="27"/>
  <c r="AB21" i="27"/>
  <c r="AA63" i="27"/>
  <c r="AA62" i="27"/>
  <c r="Z18" i="28" l="1"/>
  <c r="Z62" i="28"/>
  <c r="Z63" i="28"/>
  <c r="AA21" i="28"/>
  <c r="Y62" i="32"/>
  <c r="Y18" i="32"/>
  <c r="Z21" i="32"/>
  <c r="Y63" i="32"/>
  <c r="Z62" i="31"/>
  <c r="AA21" i="31"/>
  <c r="Z63" i="31"/>
  <c r="Z18" i="31"/>
  <c r="Y62" i="30"/>
  <c r="Y18" i="30"/>
  <c r="Z21" i="30"/>
  <c r="Y63" i="30"/>
  <c r="Y63" i="25"/>
  <c r="Z21" i="25"/>
  <c r="Y62" i="25"/>
  <c r="Y18" i="25"/>
  <c r="AB62" i="27"/>
  <c r="AB63" i="27"/>
  <c r="AC21" i="27"/>
  <c r="AB18" i="27"/>
  <c r="AB21" i="28" l="1"/>
  <c r="AA18" i="28"/>
  <c r="AA63" i="28"/>
  <c r="AA62" i="28"/>
  <c r="Z62" i="32"/>
  <c r="Z18" i="32"/>
  <c r="AA21" i="32"/>
  <c r="Z63" i="32"/>
  <c r="AA18" i="31"/>
  <c r="AB21" i="31"/>
  <c r="AA63" i="31"/>
  <c r="AA62" i="31"/>
  <c r="Z18" i="30"/>
  <c r="Z62" i="30"/>
  <c r="AA21" i="30"/>
  <c r="Z63" i="30"/>
  <c r="AA21" i="25"/>
  <c r="Z18" i="25"/>
  <c r="Z62" i="25"/>
  <c r="Z63" i="25"/>
  <c r="AC62" i="27"/>
  <c r="AC63" i="27"/>
  <c r="AD21" i="27"/>
  <c r="AC18" i="27"/>
  <c r="AB62" i="28" l="1"/>
  <c r="AB63" i="28"/>
  <c r="AC21" i="28"/>
  <c r="AB18" i="28"/>
  <c r="AB21" i="32"/>
  <c r="AA63" i="32"/>
  <c r="AA62" i="32"/>
  <c r="AA18" i="32"/>
  <c r="AC21" i="31"/>
  <c r="AB63" i="31"/>
  <c r="AB18" i="31"/>
  <c r="AB62" i="31"/>
  <c r="AB21" i="30"/>
  <c r="AA63" i="30"/>
  <c r="AA18" i="30"/>
  <c r="AA62" i="30"/>
  <c r="AA18" i="25"/>
  <c r="AA62" i="25"/>
  <c r="AA63" i="25"/>
  <c r="AB21" i="25"/>
  <c r="AD18" i="27"/>
  <c r="AD62" i="27"/>
  <c r="AE21" i="27"/>
  <c r="AD63" i="27"/>
  <c r="AD21" i="28" l="1"/>
  <c r="AC62" i="28"/>
  <c r="AC18" i="28"/>
  <c r="AC63" i="28"/>
  <c r="AC21" i="32"/>
  <c r="AB63" i="32"/>
  <c r="AB62" i="32"/>
  <c r="AB18" i="32"/>
  <c r="AD21" i="31"/>
  <c r="AC63" i="31"/>
  <c r="AC62" i="31"/>
  <c r="AC18" i="31"/>
  <c r="AC21" i="30"/>
  <c r="AB63" i="30"/>
  <c r="AB62" i="30"/>
  <c r="AB18" i="30"/>
  <c r="AB18" i="25"/>
  <c r="AB62" i="25"/>
  <c r="AB63" i="25"/>
  <c r="AC21" i="25"/>
  <c r="AE55" i="27"/>
  <c r="AE32" i="27"/>
  <c r="AF21" i="27"/>
  <c r="AE63" i="27"/>
  <c r="AE41" i="27"/>
  <c r="AE48" i="27"/>
  <c r="AE39" i="27"/>
  <c r="AE34" i="27"/>
  <c r="AE33" i="27"/>
  <c r="AE46" i="27"/>
  <c r="AE26" i="27"/>
  <c r="AE25" i="27"/>
  <c r="AE54" i="27"/>
  <c r="AE30" i="27"/>
  <c r="AE53" i="27"/>
  <c r="AE52" i="27"/>
  <c r="AE59" i="27"/>
  <c r="AE37" i="27"/>
  <c r="AE36" i="27"/>
  <c r="AE35" i="27"/>
  <c r="AE62" i="27"/>
  <c r="AE56" i="27"/>
  <c r="AE58" i="27"/>
  <c r="AE57" i="27"/>
  <c r="AE40" i="27"/>
  <c r="AE60" i="27"/>
  <c r="AE18" i="27"/>
  <c r="AE45" i="27"/>
  <c r="AE44" i="27"/>
  <c r="AE65" i="27"/>
  <c r="AE27" i="27"/>
  <c r="AE61" i="27"/>
  <c r="AE29" i="27"/>
  <c r="AE51" i="27"/>
  <c r="AE24" i="27"/>
  <c r="AE43" i="27"/>
  <c r="AE31" i="27"/>
  <c r="AE42" i="27"/>
  <c r="AE49" i="27"/>
  <c r="AE64" i="27"/>
  <c r="AE23" i="27"/>
  <c r="AE38" i="27"/>
  <c r="AE47" i="27"/>
  <c r="AE22" i="27"/>
  <c r="AE17" i="27" s="1"/>
  <c r="AE50" i="27"/>
  <c r="AE28" i="27"/>
  <c r="AD18" i="28" l="1"/>
  <c r="AE21" i="28"/>
  <c r="AD63" i="28"/>
  <c r="AD62" i="28"/>
  <c r="AD21" i="32"/>
  <c r="AC63" i="32"/>
  <c r="AC62" i="32"/>
  <c r="AC18" i="32"/>
  <c r="AD63" i="31"/>
  <c r="AD18" i="31"/>
  <c r="AD62" i="31"/>
  <c r="AE21" i="31"/>
  <c r="AD21" i="30"/>
  <c r="AC63" i="30"/>
  <c r="AC62" i="30"/>
  <c r="AC18" i="30"/>
  <c r="AC18" i="25"/>
  <c r="AC62" i="25"/>
  <c r="AD21" i="25"/>
  <c r="AC63" i="25"/>
  <c r="AF46" i="27"/>
  <c r="AF48" i="27"/>
  <c r="AF43" i="27"/>
  <c r="AF22" i="27"/>
  <c r="AF17" i="27" s="1"/>
  <c r="F18" i="27" s="1"/>
  <c r="AF56" i="27"/>
  <c r="AF47" i="27"/>
  <c r="AF32" i="27"/>
  <c r="AF30" i="27"/>
  <c r="AF39" i="27"/>
  <c r="AF40" i="27"/>
  <c r="AF18" i="27"/>
  <c r="AF61" i="27"/>
  <c r="AF58" i="27"/>
  <c r="AF65" i="27"/>
  <c r="AF53" i="27"/>
  <c r="AF24" i="27"/>
  <c r="AF51" i="27"/>
  <c r="AF29" i="27"/>
  <c r="AF26" i="27"/>
  <c r="AF44" i="27"/>
  <c r="AF64" i="27"/>
  <c r="AF34" i="27"/>
  <c r="AF36" i="27"/>
  <c r="AF55" i="27"/>
  <c r="AF41" i="27"/>
  <c r="AF54" i="27"/>
  <c r="AF23" i="27"/>
  <c r="AF49" i="27"/>
  <c r="AF25" i="27"/>
  <c r="AF62" i="27"/>
  <c r="AF52" i="27"/>
  <c r="AF60" i="27"/>
  <c r="AF33" i="27"/>
  <c r="AF28" i="27"/>
  <c r="AF45" i="27"/>
  <c r="AF35" i="27"/>
  <c r="AF63" i="27"/>
  <c r="AF38" i="27"/>
  <c r="AF59" i="27"/>
  <c r="AF37" i="27"/>
  <c r="AF42" i="27"/>
  <c r="AF31" i="27"/>
  <c r="AF57" i="27"/>
  <c r="AF50" i="27"/>
  <c r="AF27" i="27"/>
  <c r="AE30" i="28" l="1"/>
  <c r="AE61" i="28"/>
  <c r="AE48" i="28"/>
  <c r="AE39" i="28"/>
  <c r="AE40" i="28"/>
  <c r="AE22" i="28"/>
  <c r="AE44" i="28"/>
  <c r="AE27" i="28"/>
  <c r="AE51" i="28"/>
  <c r="AE62" i="28"/>
  <c r="AE60" i="28"/>
  <c r="AE54" i="28"/>
  <c r="AE55" i="28"/>
  <c r="AE65" i="28"/>
  <c r="AE34" i="28"/>
  <c r="AE46" i="28"/>
  <c r="AE38" i="28"/>
  <c r="AE50" i="28"/>
  <c r="AE58" i="28"/>
  <c r="AE64" i="28"/>
  <c r="AE41" i="28"/>
  <c r="AE31" i="28"/>
  <c r="AE63" i="28"/>
  <c r="AE33" i="28"/>
  <c r="AE26" i="28"/>
  <c r="AE18" i="28"/>
  <c r="AE28" i="28"/>
  <c r="AE42" i="28"/>
  <c r="AE23" i="28"/>
  <c r="AE53" i="28"/>
  <c r="AE49" i="28"/>
  <c r="AE57" i="28"/>
  <c r="AE29" i="28"/>
  <c r="AE24" i="28"/>
  <c r="AE45" i="28"/>
  <c r="AE35" i="28"/>
  <c r="AE25" i="28"/>
  <c r="AE56" i="28"/>
  <c r="AE52" i="28"/>
  <c r="AE32" i="28"/>
  <c r="AE43" i="28"/>
  <c r="AE59" i="28"/>
  <c r="AE36" i="28"/>
  <c r="AE47" i="28"/>
  <c r="AE37" i="28"/>
  <c r="AF21" i="28"/>
  <c r="AD63" i="32"/>
  <c r="AE21" i="32"/>
  <c r="AD62" i="32"/>
  <c r="AD18" i="32"/>
  <c r="AE24" i="31"/>
  <c r="AF21" i="31"/>
  <c r="AE50" i="31"/>
  <c r="AE38" i="31"/>
  <c r="AE28" i="31"/>
  <c r="AE65" i="31"/>
  <c r="AE62" i="31"/>
  <c r="AE23" i="31"/>
  <c r="AE61" i="31"/>
  <c r="AE59" i="31"/>
  <c r="AE57" i="31"/>
  <c r="AE55" i="31"/>
  <c r="AE53" i="31"/>
  <c r="AE51" i="31"/>
  <c r="AE49" i="31"/>
  <c r="AE47" i="31"/>
  <c r="AE45" i="31"/>
  <c r="AE41" i="31"/>
  <c r="AE39" i="31"/>
  <c r="AE37" i="31"/>
  <c r="AE33" i="31"/>
  <c r="AE31" i="31"/>
  <c r="AE27" i="31"/>
  <c r="AE60" i="31"/>
  <c r="AE58" i="31"/>
  <c r="AE56" i="31"/>
  <c r="AE52" i="31"/>
  <c r="AE48" i="31"/>
  <c r="AE44" i="31"/>
  <c r="AE42" i="31"/>
  <c r="AE36" i="31"/>
  <c r="AE32" i="31"/>
  <c r="AE26" i="31"/>
  <c r="AE18" i="31"/>
  <c r="AE43" i="31"/>
  <c r="AE35" i="31"/>
  <c r="AE29" i="31"/>
  <c r="AE25" i="31"/>
  <c r="AE63" i="31"/>
  <c r="AE64" i="31"/>
  <c r="AE22" i="31"/>
  <c r="AE54" i="31"/>
  <c r="AE46" i="31"/>
  <c r="AE40" i="31"/>
  <c r="AE34" i="31"/>
  <c r="AE30" i="31"/>
  <c r="AE21" i="30"/>
  <c r="AD63" i="30"/>
  <c r="AD62" i="30"/>
  <c r="AD18" i="30"/>
  <c r="AD63" i="25"/>
  <c r="AE21" i="25"/>
  <c r="AD18" i="25"/>
  <c r="AD62" i="25"/>
  <c r="H20" i="27"/>
  <c r="F20" i="27"/>
  <c r="U19" i="27" s="1"/>
  <c r="AE17" i="28" l="1"/>
  <c r="AF32" i="28"/>
  <c r="AF42" i="28"/>
  <c r="AF55" i="28"/>
  <c r="AF40" i="28"/>
  <c r="AF36" i="28"/>
  <c r="AF22" i="28"/>
  <c r="AF50" i="28"/>
  <c r="AF31" i="28"/>
  <c r="AF37" i="28"/>
  <c r="AF38" i="28"/>
  <c r="AF43" i="28"/>
  <c r="AF59" i="28"/>
  <c r="AF45" i="28"/>
  <c r="AF48" i="28"/>
  <c r="AF25" i="28"/>
  <c r="AF65" i="28"/>
  <c r="AF35" i="28"/>
  <c r="AF56" i="28"/>
  <c r="AF63" i="28"/>
  <c r="AF54" i="28"/>
  <c r="AF57" i="28"/>
  <c r="AF39" i="28"/>
  <c r="AF49" i="28"/>
  <c r="AF64" i="28"/>
  <c r="AF47" i="28"/>
  <c r="AF52" i="28"/>
  <c r="AF34" i="28"/>
  <c r="AF58" i="28"/>
  <c r="AF27" i="28"/>
  <c r="AF24" i="28"/>
  <c r="AF30" i="28"/>
  <c r="AF46" i="28"/>
  <c r="AF51" i="28"/>
  <c r="AF53" i="28"/>
  <c r="AF60" i="28"/>
  <c r="AF26" i="28"/>
  <c r="AF61" i="28"/>
  <c r="AF18" i="28"/>
  <c r="AF23" i="28"/>
  <c r="AF28" i="28"/>
  <c r="AF41" i="28"/>
  <c r="AF44" i="28"/>
  <c r="AF33" i="28"/>
  <c r="AF62" i="28"/>
  <c r="AF29" i="28"/>
  <c r="AE63" i="32"/>
  <c r="AE60" i="32"/>
  <c r="AE58" i="32"/>
  <c r="AE56" i="32"/>
  <c r="AE54" i="32"/>
  <c r="AE52" i="32"/>
  <c r="AE50" i="32"/>
  <c r="AE48" i="32"/>
  <c r="AE46" i="32"/>
  <c r="AE44" i="32"/>
  <c r="AE42" i="32"/>
  <c r="AE40" i="32"/>
  <c r="AE38" i="32"/>
  <c r="AE36" i="32"/>
  <c r="AE34" i="32"/>
  <c r="AE32" i="32"/>
  <c r="AE30" i="32"/>
  <c r="AE28" i="32"/>
  <c r="AE26" i="32"/>
  <c r="AE65" i="32"/>
  <c r="AE62" i="32"/>
  <c r="AE23" i="32"/>
  <c r="AE18" i="32"/>
  <c r="AE61" i="32"/>
  <c r="AE59" i="32"/>
  <c r="AE57" i="32"/>
  <c r="AE55" i="32"/>
  <c r="AE53" i="32"/>
  <c r="AE51" i="32"/>
  <c r="AE49" i="32"/>
  <c r="AE47" i="32"/>
  <c r="AE45" i="32"/>
  <c r="AE43" i="32"/>
  <c r="AE41" i="32"/>
  <c r="AE39" i="32"/>
  <c r="AE37" i="32"/>
  <c r="AE35" i="32"/>
  <c r="AE33" i="32"/>
  <c r="AE31" i="32"/>
  <c r="AE29" i="32"/>
  <c r="AE27" i="32"/>
  <c r="AE25" i="32"/>
  <c r="AE22" i="32"/>
  <c r="AF21" i="32"/>
  <c r="AE24" i="32"/>
  <c r="AE64" i="32"/>
  <c r="AF63" i="31"/>
  <c r="AF60" i="31"/>
  <c r="AF58" i="31"/>
  <c r="AF56" i="31"/>
  <c r="AF54" i="31"/>
  <c r="AF52" i="31"/>
  <c r="AF50" i="31"/>
  <c r="AF48" i="31"/>
  <c r="AF46" i="31"/>
  <c r="AF44" i="31"/>
  <c r="AF42" i="31"/>
  <c r="AF40" i="31"/>
  <c r="AF38" i="31"/>
  <c r="AF36" i="31"/>
  <c r="AF34" i="31"/>
  <c r="AF32" i="31"/>
  <c r="AF30" i="31"/>
  <c r="AF28" i="31"/>
  <c r="AF26" i="31"/>
  <c r="AF18" i="31"/>
  <c r="AF64" i="31"/>
  <c r="AF22" i="31"/>
  <c r="AF61" i="31"/>
  <c r="AF59" i="31"/>
  <c r="AF57" i="31"/>
  <c r="AF55" i="31"/>
  <c r="AF53" i="31"/>
  <c r="AF51" i="31"/>
  <c r="AF49" i="31"/>
  <c r="AF47" i="31"/>
  <c r="AF45" i="31"/>
  <c r="AF43" i="31"/>
  <c r="AF41" i="31"/>
  <c r="AF39" i="31"/>
  <c r="AF37" i="31"/>
  <c r="AF35" i="31"/>
  <c r="AF33" i="31"/>
  <c r="AF31" i="31"/>
  <c r="AF29" i="31"/>
  <c r="AF27" i="31"/>
  <c r="AF25" i="31"/>
  <c r="AF24" i="31"/>
  <c r="AF62" i="31"/>
  <c r="AF65" i="31"/>
  <c r="AF23" i="31"/>
  <c r="AE17" i="31"/>
  <c r="AE63" i="30"/>
  <c r="AE60" i="30"/>
  <c r="AE58" i="30"/>
  <c r="AE56" i="30"/>
  <c r="AE54" i="30"/>
  <c r="AE52" i="30"/>
  <c r="AE50" i="30"/>
  <c r="AE48" i="30"/>
  <c r="AE46" i="30"/>
  <c r="AE44" i="30"/>
  <c r="AE42" i="30"/>
  <c r="AE40" i="30"/>
  <c r="AE38" i="30"/>
  <c r="AE36" i="30"/>
  <c r="AE34" i="30"/>
  <c r="AE32" i="30"/>
  <c r="AE30" i="30"/>
  <c r="AE28" i="30"/>
  <c r="AE26" i="30"/>
  <c r="AE65" i="30"/>
  <c r="AE62" i="30"/>
  <c r="AE23" i="30"/>
  <c r="AE18" i="30"/>
  <c r="AE24" i="30"/>
  <c r="AE61" i="30"/>
  <c r="AE59" i="30"/>
  <c r="AE57" i="30"/>
  <c r="AE55" i="30"/>
  <c r="AE53" i="30"/>
  <c r="AE51" i="30"/>
  <c r="AE49" i="30"/>
  <c r="AE47" i="30"/>
  <c r="AE45" i="30"/>
  <c r="AE43" i="30"/>
  <c r="AE41" i="30"/>
  <c r="AE39" i="30"/>
  <c r="AE37" i="30"/>
  <c r="AE35" i="30"/>
  <c r="AE33" i="30"/>
  <c r="AE31" i="30"/>
  <c r="AE29" i="30"/>
  <c r="AE27" i="30"/>
  <c r="AE25" i="30"/>
  <c r="AF21" i="30"/>
  <c r="AE64" i="30"/>
  <c r="AE22" i="30"/>
  <c r="AE29" i="25"/>
  <c r="AE46" i="25"/>
  <c r="AE36" i="25"/>
  <c r="AE18" i="25"/>
  <c r="AE22" i="25"/>
  <c r="AE26" i="25"/>
  <c r="AE28" i="25"/>
  <c r="AE49" i="25"/>
  <c r="AE31" i="25"/>
  <c r="AE32" i="25"/>
  <c r="AE48" i="25"/>
  <c r="AE39" i="25"/>
  <c r="AE58" i="25"/>
  <c r="AE43" i="25"/>
  <c r="AE59" i="25"/>
  <c r="AE45" i="25"/>
  <c r="AE27" i="25"/>
  <c r="AE24" i="25"/>
  <c r="AE23" i="25"/>
  <c r="AE56" i="25"/>
  <c r="AE52" i="25"/>
  <c r="AE65" i="25"/>
  <c r="AE61" i="25"/>
  <c r="AE33" i="25"/>
  <c r="AE51" i="25"/>
  <c r="AE63" i="25"/>
  <c r="AF21" i="25"/>
  <c r="AE57" i="25"/>
  <c r="AE55" i="25"/>
  <c r="AE53" i="25"/>
  <c r="AE37" i="25"/>
  <c r="AE54" i="25"/>
  <c r="AE41" i="25"/>
  <c r="AE60" i="25"/>
  <c r="AE38" i="25"/>
  <c r="AE42" i="25"/>
  <c r="AE62" i="25"/>
  <c r="AE47" i="25"/>
  <c r="AE40" i="25"/>
  <c r="AE35" i="25"/>
  <c r="AE25" i="25"/>
  <c r="AE34" i="25"/>
  <c r="AE30" i="25"/>
  <c r="AE44" i="25"/>
  <c r="AE50" i="25"/>
  <c r="AE64" i="25"/>
  <c r="T19" i="27"/>
  <c r="Q19" i="27"/>
  <c r="S19" i="27"/>
  <c r="Y19" i="27"/>
  <c r="O19" i="27"/>
  <c r="N19" i="27"/>
  <c r="W19" i="27"/>
  <c r="I19" i="27"/>
  <c r="L19" i="27"/>
  <c r="X19" i="27"/>
  <c r="M19" i="27"/>
  <c r="AC19" i="27"/>
  <c r="AF19" i="27"/>
  <c r="AB19" i="27"/>
  <c r="J19" i="27"/>
  <c r="AD19" i="27"/>
  <c r="AE19" i="27"/>
  <c r="P19" i="27"/>
  <c r="H19" i="27"/>
  <c r="Z19" i="27"/>
  <c r="AA19" i="27"/>
  <c r="V19" i="27"/>
  <c r="R19" i="27"/>
  <c r="K19" i="27"/>
  <c r="AE17" i="32" l="1"/>
  <c r="AF17" i="31"/>
  <c r="F18" i="31" s="1"/>
  <c r="H20" i="31" s="1"/>
  <c r="AF17" i="28"/>
  <c r="F18" i="28" s="1"/>
  <c r="AF65" i="32"/>
  <c r="AF62" i="32"/>
  <c r="AF23" i="32"/>
  <c r="AF18" i="32"/>
  <c r="AF60" i="32"/>
  <c r="AF58" i="32"/>
  <c r="AF54" i="32"/>
  <c r="AF48" i="32"/>
  <c r="AF40" i="32"/>
  <c r="AF36" i="32"/>
  <c r="AF30" i="32"/>
  <c r="AF44" i="32"/>
  <c r="AF28" i="32"/>
  <c r="AF61" i="32"/>
  <c r="AF59" i="32"/>
  <c r="AF57" i="32"/>
  <c r="AF55" i="32"/>
  <c r="AF53" i="32"/>
  <c r="AF51" i="32"/>
  <c r="AF49" i="32"/>
  <c r="AF47" i="32"/>
  <c r="AF45" i="32"/>
  <c r="AF43" i="32"/>
  <c r="AF41" i="32"/>
  <c r="AF39" i="32"/>
  <c r="AF37" i="32"/>
  <c r="AF35" i="32"/>
  <c r="AF33" i="32"/>
  <c r="AF31" i="32"/>
  <c r="AF29" i="32"/>
  <c r="AF27" i="32"/>
  <c r="AF25" i="32"/>
  <c r="AF22" i="32"/>
  <c r="AF63" i="32"/>
  <c r="AF56" i="32"/>
  <c r="AF50" i="32"/>
  <c r="AF46" i="32"/>
  <c r="AF42" i="32"/>
  <c r="AF38" i="32"/>
  <c r="AF32" i="32"/>
  <c r="AF26" i="32"/>
  <c r="AF64" i="32"/>
  <c r="AF52" i="32"/>
  <c r="AF34" i="32"/>
  <c r="AF24" i="32"/>
  <c r="AE17" i="30"/>
  <c r="AF18" i="30"/>
  <c r="AF63" i="30"/>
  <c r="AF60" i="30"/>
  <c r="AF58" i="30"/>
  <c r="AF56" i="30"/>
  <c r="AF54" i="30"/>
  <c r="AF52" i="30"/>
  <c r="AF48" i="30"/>
  <c r="AF42" i="30"/>
  <c r="AF40" i="30"/>
  <c r="AF38" i="30"/>
  <c r="AF32" i="30"/>
  <c r="AF30" i="30"/>
  <c r="AF28" i="30"/>
  <c r="AF65" i="30"/>
  <c r="AF62" i="30"/>
  <c r="AF23" i="30"/>
  <c r="AF44" i="30"/>
  <c r="AF26" i="30"/>
  <c r="AF61" i="30"/>
  <c r="AF59" i="30"/>
  <c r="AF57" i="30"/>
  <c r="AF55" i="30"/>
  <c r="AF53" i="30"/>
  <c r="AF51" i="30"/>
  <c r="AF49" i="30"/>
  <c r="AF47" i="30"/>
  <c r="AF45" i="30"/>
  <c r="AF43" i="30"/>
  <c r="AF41" i="30"/>
  <c r="AF39" i="30"/>
  <c r="AF37" i="30"/>
  <c r="AF35" i="30"/>
  <c r="AF33" i="30"/>
  <c r="AF31" i="30"/>
  <c r="AF29" i="30"/>
  <c r="AF27" i="30"/>
  <c r="AF25" i="30"/>
  <c r="AF46" i="30"/>
  <c r="AF34" i="30"/>
  <c r="AF64" i="30"/>
  <c r="AF22" i="30"/>
  <c r="AF50" i="30"/>
  <c r="AF36" i="30"/>
  <c r="AF24" i="30"/>
  <c r="AE17" i="25"/>
  <c r="AF37" i="25"/>
  <c r="AF25" i="25"/>
  <c r="AF42" i="25"/>
  <c r="AF54" i="25"/>
  <c r="AF59" i="25"/>
  <c r="AF62" i="25"/>
  <c r="AF43" i="25"/>
  <c r="AF22" i="25"/>
  <c r="AF31" i="25"/>
  <c r="AF60" i="25"/>
  <c r="AF34" i="25"/>
  <c r="AF30" i="25"/>
  <c r="AF49" i="25"/>
  <c r="AF44" i="25"/>
  <c r="AF40" i="25"/>
  <c r="AF52" i="25"/>
  <c r="AF18" i="25"/>
  <c r="AF64" i="25"/>
  <c r="AF39" i="25"/>
  <c r="AF46" i="25"/>
  <c r="AF51" i="25"/>
  <c r="AF57" i="25"/>
  <c r="AF29" i="25"/>
  <c r="AF38" i="25"/>
  <c r="AF27" i="25"/>
  <c r="AF50" i="25"/>
  <c r="AF33" i="25"/>
  <c r="AF23" i="25"/>
  <c r="AF36" i="25"/>
  <c r="AF41" i="25"/>
  <c r="AF65" i="25"/>
  <c r="AF28" i="25"/>
  <c r="AF47" i="25"/>
  <c r="AF58" i="25"/>
  <c r="AF35" i="25"/>
  <c r="AF45" i="25"/>
  <c r="AF61" i="25"/>
  <c r="AF24" i="25"/>
  <c r="AF32" i="25"/>
  <c r="AF55" i="25"/>
  <c r="AF63" i="25"/>
  <c r="AF56" i="25"/>
  <c r="AF53" i="25"/>
  <c r="AF26" i="25"/>
  <c r="AF48" i="25"/>
  <c r="AF17" i="32" l="1"/>
  <c r="F18" i="32" s="1"/>
  <c r="F20" i="32" s="1"/>
  <c r="AF17" i="30"/>
  <c r="F18" i="30" s="1"/>
  <c r="H20" i="28"/>
  <c r="F20" i="28"/>
  <c r="F20" i="31"/>
  <c r="O19" i="31" s="1"/>
  <c r="AF17" i="25"/>
  <c r="F18" i="25" s="1"/>
  <c r="H20" i="32" l="1"/>
  <c r="H19" i="32" s="1"/>
  <c r="K19" i="28"/>
  <c r="S19" i="28"/>
  <c r="U19" i="28"/>
  <c r="Y19" i="28"/>
  <c r="M19" i="28"/>
  <c r="W19" i="28"/>
  <c r="I19" i="28"/>
  <c r="R19" i="28"/>
  <c r="AB19" i="28"/>
  <c r="AD19" i="28"/>
  <c r="L19" i="28"/>
  <c r="O19" i="28"/>
  <c r="AE19" i="28"/>
  <c r="Z19" i="28"/>
  <c r="AC19" i="28"/>
  <c r="AA19" i="28"/>
  <c r="N19" i="28"/>
  <c r="H19" i="28"/>
  <c r="Q19" i="28"/>
  <c r="V19" i="28"/>
  <c r="X19" i="28"/>
  <c r="T19" i="28"/>
  <c r="J19" i="28"/>
  <c r="AF19" i="28"/>
  <c r="P19" i="28"/>
  <c r="AF19" i="32"/>
  <c r="R19" i="32"/>
  <c r="K19" i="32"/>
  <c r="Z19" i="32"/>
  <c r="O19" i="32"/>
  <c r="L19" i="32"/>
  <c r="M19" i="32"/>
  <c r="W19" i="32"/>
  <c r="T19" i="32"/>
  <c r="U19" i="32"/>
  <c r="AB19" i="32"/>
  <c r="N19" i="32"/>
  <c r="S19" i="32"/>
  <c r="AE19" i="32"/>
  <c r="AC19" i="32"/>
  <c r="I19" i="32"/>
  <c r="P19" i="32"/>
  <c r="AA19" i="32"/>
  <c r="Q19" i="32"/>
  <c r="V19" i="32"/>
  <c r="X19" i="32"/>
  <c r="Y19" i="32"/>
  <c r="J19" i="32"/>
  <c r="AD19" i="32"/>
  <c r="L19" i="31"/>
  <c r="AF19" i="31"/>
  <c r="Z19" i="31"/>
  <c r="AE19" i="31"/>
  <c r="J19" i="31"/>
  <c r="AC19" i="31"/>
  <c r="S19" i="31"/>
  <c r="AB19" i="31"/>
  <c r="AD19" i="31"/>
  <c r="X19" i="31"/>
  <c r="U19" i="31"/>
  <c r="M19" i="31"/>
  <c r="I19" i="31"/>
  <c r="N19" i="31"/>
  <c r="Q19" i="31"/>
  <c r="R19" i="31"/>
  <c r="W19" i="31"/>
  <c r="Y19" i="31"/>
  <c r="K19" i="31"/>
  <c r="V19" i="31"/>
  <c r="T19" i="31"/>
  <c r="AA19" i="31"/>
  <c r="H19" i="31"/>
  <c r="P19" i="31"/>
  <c r="F20" i="30"/>
  <c r="H20" i="30"/>
  <c r="F20" i="25"/>
  <c r="H20" i="25"/>
  <c r="H19" i="30" l="1"/>
  <c r="AB19" i="30"/>
  <c r="W19" i="30"/>
  <c r="K19" i="30"/>
  <c r="Q19" i="30"/>
  <c r="AC19" i="30"/>
  <c r="R19" i="30"/>
  <c r="I19" i="30"/>
  <c r="S19" i="30"/>
  <c r="Z19" i="30"/>
  <c r="P19" i="30"/>
  <c r="Y19" i="30"/>
  <c r="AA19" i="30"/>
  <c r="N19" i="30"/>
  <c r="X19" i="30"/>
  <c r="L19" i="30"/>
  <c r="V19" i="30"/>
  <c r="AF19" i="30"/>
  <c r="T19" i="30"/>
  <c r="AD19" i="30"/>
  <c r="J19" i="30"/>
  <c r="M19" i="30"/>
  <c r="O19" i="30"/>
  <c r="U19" i="30"/>
  <c r="AE19" i="30"/>
  <c r="J19" i="25"/>
  <c r="AD19" i="25"/>
  <c r="V19" i="25"/>
  <c r="I19" i="25"/>
  <c r="Z19" i="25"/>
  <c r="U19" i="25"/>
  <c r="N19" i="25"/>
  <c r="P19" i="25"/>
  <c r="AC19" i="25"/>
  <c r="X19" i="25"/>
  <c r="S19" i="25"/>
  <c r="Y19" i="25"/>
  <c r="T19" i="25"/>
  <c r="AE19" i="25"/>
  <c r="AA19" i="25"/>
  <c r="O19" i="25"/>
  <c r="L19" i="25"/>
  <c r="AB19" i="25"/>
  <c r="W19" i="25"/>
  <c r="AF19" i="25"/>
  <c r="M19" i="25"/>
  <c r="H19" i="25"/>
  <c r="K19" i="25"/>
  <c r="R19" i="25"/>
  <c r="Q1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000-000001000000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100-000001000000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A87DCCEB-9807-4190-96DE-B7C948563909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A0E5AF1D-467B-45A1-95E6-26A226249329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D3300A05-064B-4717-A1DF-FE00C328C762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200-000001000000}">
      <text>
        <r>
          <rPr>
            <sz val="8"/>
            <color indexed="81"/>
            <rFont val="Tahoma"/>
            <family val="2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sharedStrings.xml><?xml version="1.0" encoding="utf-8"?>
<sst xmlns="http://schemas.openxmlformats.org/spreadsheetml/2006/main" count="473" uniqueCount="120">
  <si>
    <t>Est.</t>
  </si>
  <si>
    <t>Task rows</t>
  </si>
  <si>
    <t>Done days</t>
  </si>
  <si>
    <t>Trend</t>
  </si>
  <si>
    <t>Trend Days</t>
  </si>
  <si>
    <t>Warning! These are necessary</t>
  </si>
  <si>
    <t>template rows</t>
  </si>
  <si>
    <t>Done</t>
  </si>
  <si>
    <t>In Progress</t>
  </si>
  <si>
    <t>To Do</t>
  </si>
  <si>
    <t>ID Tarea</t>
  </si>
  <si>
    <t>Duración del Sprint</t>
  </si>
  <si>
    <t>Tendencia calculada en los últimos</t>
  </si>
  <si>
    <t>Días</t>
  </si>
  <si>
    <t>Tarea</t>
  </si>
  <si>
    <t>ID Historia</t>
  </si>
  <si>
    <t>Responsable</t>
  </si>
  <si>
    <t>Totales</t>
  </si>
  <si>
    <t>Estado</t>
  </si>
  <si>
    <t>Esfuerzo</t>
  </si>
  <si>
    <t>Faltante en los días siguientes…</t>
  </si>
  <si>
    <t>Por Hacer</t>
  </si>
  <si>
    <t>Nombre del Proyecto:</t>
  </si>
  <si>
    <t>Dueño del Proyecto</t>
  </si>
  <si>
    <t>Gerente del Proyecto:</t>
  </si>
  <si>
    <t>Sistema web de generación óptima de horarios académicos en Huancayo, 2026</t>
  </si>
  <si>
    <t>Daniel Gamarra</t>
  </si>
  <si>
    <t>Ulises</t>
  </si>
  <si>
    <t>Lenning</t>
  </si>
  <si>
    <t>Jairo</t>
  </si>
  <si>
    <t>Yuri</t>
  </si>
  <si>
    <t>Fredy</t>
  </si>
  <si>
    <t>Reynaldo</t>
  </si>
  <si>
    <t>HU01</t>
  </si>
  <si>
    <t>HU02</t>
  </si>
  <si>
    <t>HU03</t>
  </si>
  <si>
    <t>HU04</t>
  </si>
  <si>
    <t>HU05</t>
  </si>
  <si>
    <t>HU06</t>
  </si>
  <si>
    <t>HU07</t>
  </si>
  <si>
    <t>HU10</t>
  </si>
  <si>
    <t>HU11</t>
  </si>
  <si>
    <t>HU15</t>
  </si>
  <si>
    <t>HU12</t>
  </si>
  <si>
    <t>HU16</t>
  </si>
  <si>
    <t>HU08</t>
  </si>
  <si>
    <t>HU13</t>
  </si>
  <si>
    <t>HU09</t>
  </si>
  <si>
    <t>HU14</t>
  </si>
  <si>
    <t>Diseñar interfaz de login (Frontend)</t>
  </si>
  <si>
    <t>Implementar API de autenticación (Backend)</t>
  </si>
  <si>
    <t>Validar credenciales y sesiones</t>
  </si>
  <si>
    <t>Pruebas de login (QA)</t>
  </si>
  <si>
    <t>Diseñar interfaz de roles (Frontend)</t>
  </si>
  <si>
    <t>Implementar lógica de asignacion (Backend)</t>
  </si>
  <si>
    <t>Validar permisos por rol</t>
  </si>
  <si>
    <t>Pruebas de control de acceso</t>
  </si>
  <si>
    <t>Diseñar formulario docente (Frontend)</t>
  </si>
  <si>
    <t>Crear tabla docentes (DB)</t>
  </si>
  <si>
    <t>Crear modelo de roles (DB)</t>
  </si>
  <si>
    <t>Configurar base de datos de usuarios (DB)</t>
  </si>
  <si>
    <t>Validar datos ingresados</t>
  </si>
  <si>
    <t>Implementar CRUD docentes (Backend)</t>
  </si>
  <si>
    <t>Pruebas de registro docente</t>
  </si>
  <si>
    <t>Diseñar formulario aulas (Frontend)</t>
  </si>
  <si>
    <t>Crear tabla aulas (DB)</t>
  </si>
  <si>
    <t>Implementar CRUD aulas (Backend)</t>
  </si>
  <si>
    <t>Validar capacidad</t>
  </si>
  <si>
    <t>Diseñar vista estudiante (Frontend)</t>
  </si>
  <si>
    <t>Crear endpoint de consulta (Backend)</t>
  </si>
  <si>
    <t>Integrar datos</t>
  </si>
  <si>
    <t>Validar visualización</t>
  </si>
  <si>
    <t>Pruebas de usuario</t>
  </si>
  <si>
    <t>Diseñar vista docente (Frontend)</t>
  </si>
  <si>
    <t>Crear endpoint docente (Backend)</t>
  </si>
  <si>
    <t>Pruebas</t>
  </si>
  <si>
    <t>Diseñar formato PDF</t>
  </si>
  <si>
    <t>Integrar botón exportar (Frontend)</t>
  </si>
  <si>
    <t>Implementar generación PDF (Backend)</t>
  </si>
  <si>
    <t>Validar archivo generado</t>
  </si>
  <si>
    <t>Diseñar formulario cursos (Frontend)</t>
  </si>
  <si>
    <t>Crear tabla cursos (DB)</t>
  </si>
  <si>
    <t>Implementar CRUD cursos (Backend)</t>
  </si>
  <si>
    <t>Validar duplicados</t>
  </si>
  <si>
    <t>Pruebas de registro cursos</t>
  </si>
  <si>
    <t>Diseñar formulario estudiantes (Frontend)</t>
  </si>
  <si>
    <t>Crear tabla estudiantes (DB)</t>
  </si>
  <si>
    <t>Implementar CRUD estudiantes (Backend)</t>
  </si>
  <si>
    <t>Validar datos</t>
  </si>
  <si>
    <t>Pruebas de registro estudiantes</t>
  </si>
  <si>
    <t>Diseñar vista admin (Frontend)</t>
  </si>
  <si>
    <t>Crear endpoint global (Backend)</t>
  </si>
  <si>
    <t>Implementar filtros</t>
  </si>
  <si>
    <t>Validar resultados</t>
  </si>
  <si>
    <t>Diseñar formato Excel</t>
  </si>
  <si>
    <t>Implementar exportación (Backend)</t>
  </si>
  <si>
    <t>Diseñar modelo CSP</t>
  </si>
  <si>
    <t>Implementar algoritmo base (Backend)</t>
  </si>
  <si>
    <t>Integrar datos (docentes, aulas, cursos)</t>
  </si>
  <si>
    <t>Generar horarios iniciales</t>
  </si>
  <si>
    <t>Pruebas de generación</t>
  </si>
  <si>
    <t>Definir tipos de conflicto</t>
  </si>
  <si>
    <t>Implementar detección (Backend)</t>
  </si>
  <si>
    <t>Mostrar alertas (Frontend)</t>
  </si>
  <si>
    <t>Validar conflictos</t>
  </si>
  <si>
    <t>Definir reglas académicas (Backend)</t>
  </si>
  <si>
    <t>Modelar restricciones en sistema</t>
  </si>
  <si>
    <t>Implementar validaciones</t>
  </si>
  <si>
    <t>Integrar con generación de horarios</t>
  </si>
  <si>
    <t>Pruebas de restricciones</t>
  </si>
  <si>
    <t>Definir criterios de optimización</t>
  </si>
  <si>
    <t>Implementar lógica de mejora</t>
  </si>
  <si>
    <t>Reducir conflictos y tiempos muertos</t>
  </si>
  <si>
    <t>Pruebas de optimización</t>
  </si>
  <si>
    <t>Diseñar interfaz de edición (Frontend)</t>
  </si>
  <si>
    <t>Implementar edición (Backend)</t>
  </si>
  <si>
    <t>Validar cambios</t>
  </si>
  <si>
    <t>Guardar modificaciones</t>
  </si>
  <si>
    <t>Terminado</t>
  </si>
  <si>
    <t>En 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</si>
</sst>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print &quot;#&quot; Backlog&quot;"/>
  </numFmts>
  <fonts count="9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1"/>
    <xf numFmtId="164" fontId="2" fillId="0" borderId="0" xfId="0" applyNumberFormat="1" applyFont="1" applyAlignment="1">
      <alignment horizontal="left"/>
    </xf>
    <xf numFmtId="0" fontId="0" fillId="0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/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/>
    <xf numFmtId="0" fontId="2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164" fontId="2" fillId="0" borderId="0" xfId="0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0" fillId="0" borderId="0" xfId="0" applyFill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110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1'!$H$17:$AF$17</c:f>
              <c:numCache>
                <c:formatCode>General</c:formatCode>
                <c:ptCount val="25"/>
                <c:pt idx="0">
                  <c:v>50</c:v>
                </c:pt>
                <c:pt idx="1">
                  <c:v>49</c:v>
                </c:pt>
                <c:pt idx="2">
                  <c:v>42</c:v>
                </c:pt>
                <c:pt idx="3">
                  <c:v>35</c:v>
                </c:pt>
                <c:pt idx="4">
                  <c:v>30</c:v>
                </c:pt>
                <c:pt idx="5">
                  <c:v>18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F-4C90-BC18-66CB5A59F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>
                <c:formatCode>General</c:formatCode>
                <c:ptCount val="25"/>
                <c:pt idx="0">
                  <c:v>50</c:v>
                </c:pt>
                <c:pt idx="1">
                  <c:v>46.666666666666664</c:v>
                </c:pt>
                <c:pt idx="2">
                  <c:v>43.333333333333336</c:v>
                </c:pt>
                <c:pt idx="3">
                  <c:v>40</c:v>
                </c:pt>
                <c:pt idx="4">
                  <c:v>36.666666666666664</c:v>
                </c:pt>
                <c:pt idx="5">
                  <c:v>33.333333333333329</c:v>
                </c:pt>
                <c:pt idx="6">
                  <c:v>30</c:v>
                </c:pt>
                <c:pt idx="7">
                  <c:v>26.666666666666664</c:v>
                </c:pt>
                <c:pt idx="8">
                  <c:v>23.333333333333332</c:v>
                </c:pt>
                <c:pt idx="9">
                  <c:v>20</c:v>
                </c:pt>
                <c:pt idx="10">
                  <c:v>16.666666666666664</c:v>
                </c:pt>
                <c:pt idx="11">
                  <c:v>13.333333333333329</c:v>
                </c:pt>
                <c:pt idx="12">
                  <c:v>10</c:v>
                </c:pt>
                <c:pt idx="13">
                  <c:v>6.6666666666666643</c:v>
                </c:pt>
                <c:pt idx="14">
                  <c:v>3.3333333333333286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F-4C90-BC18-66CB5A59F577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>
                <c:formatCode>General</c:formatCode>
                <c:ptCount val="25"/>
                <c:pt idx="0">
                  <c:v>50.499999999999993</c:v>
                </c:pt>
                <c:pt idx="1">
                  <c:v>45.036363636363632</c:v>
                </c:pt>
                <c:pt idx="2">
                  <c:v>39.572727272727271</c:v>
                </c:pt>
                <c:pt idx="3">
                  <c:v>34.109090909090909</c:v>
                </c:pt>
                <c:pt idx="4">
                  <c:v>28.645454545454548</c:v>
                </c:pt>
                <c:pt idx="5">
                  <c:v>23.181818181818187</c:v>
                </c:pt>
                <c:pt idx="6">
                  <c:v>17.718181818181826</c:v>
                </c:pt>
                <c:pt idx="7">
                  <c:v>12.254545454545465</c:v>
                </c:pt>
                <c:pt idx="8">
                  <c:v>6.7909090909091034</c:v>
                </c:pt>
                <c:pt idx="9">
                  <c:v>1.3272727272727423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F-4C90-BC18-66CB5A59F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7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2'!$H$17:$AF$17</c:f>
              <c:numCache>
                <c:formatCode>General</c:formatCode>
                <c:ptCount val="25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20</c:v>
                </c:pt>
                <c:pt idx="5">
                  <c:v>16</c:v>
                </c:pt>
                <c:pt idx="6">
                  <c:v>12</c:v>
                </c:pt>
                <c:pt idx="7">
                  <c:v>11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2-4326-B600-38CFE2BAD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>
                <c:formatCode>General</c:formatCode>
                <c:ptCount val="25"/>
                <c:pt idx="0">
                  <c:v>25</c:v>
                </c:pt>
                <c:pt idx="1">
                  <c:v>23.333333333333332</c:v>
                </c:pt>
                <c:pt idx="2">
                  <c:v>21.666666666666668</c:v>
                </c:pt>
                <c:pt idx="3">
                  <c:v>20</c:v>
                </c:pt>
                <c:pt idx="4">
                  <c:v>18.333333333333332</c:v>
                </c:pt>
                <c:pt idx="5">
                  <c:v>16.666666666666664</c:v>
                </c:pt>
                <c:pt idx="6">
                  <c:v>15</c:v>
                </c:pt>
                <c:pt idx="7">
                  <c:v>13.333333333333332</c:v>
                </c:pt>
                <c:pt idx="8">
                  <c:v>11.666666666666666</c:v>
                </c:pt>
                <c:pt idx="9">
                  <c:v>10</c:v>
                </c:pt>
                <c:pt idx="10">
                  <c:v>8.3333333333333321</c:v>
                </c:pt>
                <c:pt idx="11">
                  <c:v>6.6666666666666643</c:v>
                </c:pt>
                <c:pt idx="12">
                  <c:v>5</c:v>
                </c:pt>
                <c:pt idx="13">
                  <c:v>3.3333333333333321</c:v>
                </c:pt>
                <c:pt idx="14">
                  <c:v>1.6666666666666643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2-4326-B600-38CFE2BAD6D1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>
                <c:formatCode>General</c:formatCode>
                <c:ptCount val="25"/>
                <c:pt idx="0">
                  <c:v>28.072727272727278</c:v>
                </c:pt>
                <c:pt idx="1">
                  <c:v>25.345454545454547</c:v>
                </c:pt>
                <c:pt idx="2">
                  <c:v>22.618181818181821</c:v>
                </c:pt>
                <c:pt idx="3">
                  <c:v>19.890909090909091</c:v>
                </c:pt>
                <c:pt idx="4">
                  <c:v>17.163636363636364</c:v>
                </c:pt>
                <c:pt idx="5">
                  <c:v>14.436363636363637</c:v>
                </c:pt>
                <c:pt idx="6">
                  <c:v>11.709090909090907</c:v>
                </c:pt>
                <c:pt idx="7">
                  <c:v>8.9818181818181806</c:v>
                </c:pt>
                <c:pt idx="8">
                  <c:v>6.254545454545454</c:v>
                </c:pt>
                <c:pt idx="9">
                  <c:v>3.5272727272727238</c:v>
                </c:pt>
                <c:pt idx="10">
                  <c:v>0.79999999999999716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2-4326-B600-38CFE2BAD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7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3'!$H$17:$AF$17</c:f>
              <c:numCache>
                <c:formatCode>General</c:formatCode>
                <c:ptCount val="25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1-4C5B-A9A5-46232BF2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3'!$H$18:$AF$18</c:f>
              <c:numCache>
                <c:formatCode>General</c:formatCode>
                <c:ptCount val="25"/>
                <c:pt idx="0">
                  <c:v>18</c:v>
                </c:pt>
                <c:pt idx="1">
                  <c:v>16.8</c:v>
                </c:pt>
                <c:pt idx="2">
                  <c:v>15.6</c:v>
                </c:pt>
                <c:pt idx="3">
                  <c:v>14.4</c:v>
                </c:pt>
                <c:pt idx="4">
                  <c:v>13.2</c:v>
                </c:pt>
                <c:pt idx="5">
                  <c:v>12</c:v>
                </c:pt>
                <c:pt idx="6">
                  <c:v>10.8</c:v>
                </c:pt>
                <c:pt idx="7">
                  <c:v>9.6</c:v>
                </c:pt>
                <c:pt idx="8">
                  <c:v>8.4</c:v>
                </c:pt>
                <c:pt idx="9">
                  <c:v>7.2000000000000011</c:v>
                </c:pt>
                <c:pt idx="10">
                  <c:v>6</c:v>
                </c:pt>
                <c:pt idx="11">
                  <c:v>4.8000000000000007</c:v>
                </c:pt>
                <c:pt idx="12">
                  <c:v>3.6000000000000014</c:v>
                </c:pt>
                <c:pt idx="13">
                  <c:v>2.4000000000000004</c:v>
                </c:pt>
                <c:pt idx="14">
                  <c:v>1.1999999999999993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1-4C5B-A9A5-46232BF288CE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3'!$H$19:$AF$19</c:f>
              <c:numCache>
                <c:formatCode>General</c:formatCode>
                <c:ptCount val="25"/>
                <c:pt idx="0">
                  <c:v>19.054545454545458</c:v>
                </c:pt>
                <c:pt idx="1">
                  <c:v>17.63636363636364</c:v>
                </c:pt>
                <c:pt idx="2">
                  <c:v>16.218181818181819</c:v>
                </c:pt>
                <c:pt idx="3">
                  <c:v>14.800000000000002</c:v>
                </c:pt>
                <c:pt idx="4">
                  <c:v>13.381818181818184</c:v>
                </c:pt>
                <c:pt idx="5">
                  <c:v>11.963636363636365</c:v>
                </c:pt>
                <c:pt idx="6">
                  <c:v>10.545454545454547</c:v>
                </c:pt>
                <c:pt idx="7">
                  <c:v>9.1272727272727288</c:v>
                </c:pt>
                <c:pt idx="8">
                  <c:v>7.7090909090909108</c:v>
                </c:pt>
                <c:pt idx="9">
                  <c:v>6.2909090909090928</c:v>
                </c:pt>
                <c:pt idx="10">
                  <c:v>4.872727272727273</c:v>
                </c:pt>
                <c:pt idx="11">
                  <c:v>3.4545454545454533</c:v>
                </c:pt>
                <c:pt idx="12">
                  <c:v>2.0363636363636353</c:v>
                </c:pt>
                <c:pt idx="13">
                  <c:v>0.61818181818181728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1-4C5B-A9A5-46232BF2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7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4'!$H$17:$AF$17</c:f>
              <c:numCache>
                <c:formatCode>General</c:formatCode>
                <c:ptCount val="25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A-42B0-89E1-6616623B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4'!$H$18:$AF$18</c:f>
              <c:numCache>
                <c:formatCode>General</c:formatCode>
                <c:ptCount val="25"/>
                <c:pt idx="0">
                  <c:v>9</c:v>
                </c:pt>
                <c:pt idx="1">
                  <c:v>8.1</c:v>
                </c:pt>
                <c:pt idx="2">
                  <c:v>7.2</c:v>
                </c:pt>
                <c:pt idx="3">
                  <c:v>6.3</c:v>
                </c:pt>
                <c:pt idx="4">
                  <c:v>5.4</c:v>
                </c:pt>
                <c:pt idx="5">
                  <c:v>4.5</c:v>
                </c:pt>
                <c:pt idx="6">
                  <c:v>3.5999999999999996</c:v>
                </c:pt>
                <c:pt idx="7">
                  <c:v>2.7</c:v>
                </c:pt>
                <c:pt idx="8">
                  <c:v>1.7999999999999998</c:v>
                </c:pt>
                <c:pt idx="9">
                  <c:v>0.90000000000000036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8A-42B0-89E1-6616623B1E2A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4'!$H$19:$AF$19</c:f>
              <c:numCache>
                <c:formatCode>General</c:formatCode>
                <c:ptCount val="25"/>
                <c:pt idx="0">
                  <c:v>8.7777777777777768</c:v>
                </c:pt>
                <c:pt idx="1">
                  <c:v>7.9444444444444438</c:v>
                </c:pt>
                <c:pt idx="2">
                  <c:v>7.1111111111111107</c:v>
                </c:pt>
                <c:pt idx="3">
                  <c:v>6.2777777777777768</c:v>
                </c:pt>
                <c:pt idx="4">
                  <c:v>5.4444444444444438</c:v>
                </c:pt>
                <c:pt idx="5">
                  <c:v>4.6111111111111107</c:v>
                </c:pt>
                <c:pt idx="6">
                  <c:v>3.7777777777777768</c:v>
                </c:pt>
                <c:pt idx="7">
                  <c:v>2.9444444444444438</c:v>
                </c:pt>
                <c:pt idx="8">
                  <c:v>2.1111111111111107</c:v>
                </c:pt>
                <c:pt idx="9">
                  <c:v>1.2777777777777768</c:v>
                </c:pt>
                <c:pt idx="10">
                  <c:v>0.44444444444444287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8A-42B0-89E1-6616623B1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7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5'!$H$17:$AF$17</c:f>
              <c:numCache>
                <c:formatCode>General</c:formatCode>
                <c:ptCount val="25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8-438E-8CA8-534ACE3F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5'!$H$18:$AF$18</c:f>
              <c:numCache>
                <c:formatCode>General</c:formatCode>
                <c:ptCount val="25"/>
                <c:pt idx="0">
                  <c:v>17</c:v>
                </c:pt>
                <c:pt idx="1">
                  <c:v>15.866666666666667</c:v>
                </c:pt>
                <c:pt idx="2">
                  <c:v>14.733333333333334</c:v>
                </c:pt>
                <c:pt idx="3">
                  <c:v>13.6</c:v>
                </c:pt>
                <c:pt idx="4">
                  <c:v>12.466666666666667</c:v>
                </c:pt>
                <c:pt idx="5">
                  <c:v>11.333333333333334</c:v>
                </c:pt>
                <c:pt idx="6">
                  <c:v>10.199999999999999</c:v>
                </c:pt>
                <c:pt idx="7">
                  <c:v>9.0666666666666664</c:v>
                </c:pt>
                <c:pt idx="8">
                  <c:v>7.9333333333333336</c:v>
                </c:pt>
                <c:pt idx="9">
                  <c:v>6.8000000000000007</c:v>
                </c:pt>
                <c:pt idx="10">
                  <c:v>5.6666666666666679</c:v>
                </c:pt>
                <c:pt idx="11">
                  <c:v>4.5333333333333332</c:v>
                </c:pt>
                <c:pt idx="12">
                  <c:v>3.4000000000000004</c:v>
                </c:pt>
                <c:pt idx="13">
                  <c:v>2.2666666666666675</c:v>
                </c:pt>
                <c:pt idx="14">
                  <c:v>1.1333333333333329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58-438E-8CA8-534ACE3F37BA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5'!$H$19:$AF$19</c:f>
              <c:numCache>
                <c:formatCode>General</c:formatCode>
                <c:ptCount val="25"/>
                <c:pt idx="0">
                  <c:v>19.490909090909096</c:v>
                </c:pt>
                <c:pt idx="1">
                  <c:v>18.127272727272732</c:v>
                </c:pt>
                <c:pt idx="2">
                  <c:v>16.763636363636365</c:v>
                </c:pt>
                <c:pt idx="3">
                  <c:v>15.400000000000002</c:v>
                </c:pt>
                <c:pt idx="4">
                  <c:v>14.036363636363639</c:v>
                </c:pt>
                <c:pt idx="5">
                  <c:v>12.672727272727276</c:v>
                </c:pt>
                <c:pt idx="6">
                  <c:v>11.30909090909091</c:v>
                </c:pt>
                <c:pt idx="7">
                  <c:v>9.9454545454545471</c:v>
                </c:pt>
                <c:pt idx="8">
                  <c:v>8.5818181818181838</c:v>
                </c:pt>
                <c:pt idx="9">
                  <c:v>7.2181818181818187</c:v>
                </c:pt>
                <c:pt idx="10">
                  <c:v>5.8545454545454554</c:v>
                </c:pt>
                <c:pt idx="11">
                  <c:v>4.4909090909090921</c:v>
                </c:pt>
                <c:pt idx="12">
                  <c:v>3.1272727272727288</c:v>
                </c:pt>
                <c:pt idx="13">
                  <c:v>1.7636363636363619</c:v>
                </c:pt>
                <c:pt idx="14">
                  <c:v>0.39999999999999858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58-438E-8CA8-534ACE3F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79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'Plantilla Sprint'!$H$17:$AF$17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7-4335-9467-376B3FB09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81712"/>
        <c:axId val="229380080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'Plantilla Sprint'!$H$18:$AF$18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7-4335-9467-376B3FB099D4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'Plantilla Sprint'!$H$19:$AF$19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77-4335-9467-376B3FB09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81712"/>
        <c:axId val="229380080"/>
      </c:lineChart>
      <c:catAx>
        <c:axId val="229381712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0080"/>
        <c:crosses val="autoZero"/>
        <c:auto val="1"/>
        <c:lblAlgn val="ctr"/>
        <c:lblOffset val="100"/>
        <c:noMultiLvlLbl val="0"/>
      </c:catAx>
      <c:valAx>
        <c:axId val="2293800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2938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7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58733" name="Chart 2">
          <a:extLst>
            <a:ext uri="{FF2B5EF4-FFF2-40B4-BE49-F238E27FC236}">
              <a16:creationId xmlns:a16="http://schemas.microsoft.com/office/drawing/2014/main" id="{00000000-0008-0000-0000-00000D6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76137" name="Chart 2">
          <a:extLst>
            <a:ext uri="{FF2B5EF4-FFF2-40B4-BE49-F238E27FC236}">
              <a16:creationId xmlns:a16="http://schemas.microsoft.com/office/drawing/2014/main" id="{00000000-0008-0000-0100-000009B0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81315A7-80F2-4FFB-B8C4-080BFF9ED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003935D-D02C-4B0F-8FD9-9A427A640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629D8E8-9660-48B7-8944-1CF7C0F0A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175115" name="Chart 2">
          <a:extLst>
            <a:ext uri="{FF2B5EF4-FFF2-40B4-BE49-F238E27FC236}">
              <a16:creationId xmlns:a16="http://schemas.microsoft.com/office/drawing/2014/main" id="{00000000-0008-0000-0200-00000BA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AF71"/>
  <sheetViews>
    <sheetView tabSelected="1" topLeftCell="A7" zoomScaleNormal="100" workbookViewId="0">
      <selection activeCell="F16" sqref="F16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0" t="s">
        <v>25</v>
      </c>
      <c r="E3" s="40"/>
      <c r="F3" s="40"/>
      <c r="G3" s="40"/>
      <c r="H3" s="40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1" t="s">
        <v>26</v>
      </c>
      <c r="E4" s="41"/>
      <c r="F4" s="41"/>
      <c r="G4" s="41"/>
      <c r="H4" s="41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1" t="s">
        <v>26</v>
      </c>
      <c r="E5" s="41"/>
      <c r="F5" s="41"/>
      <c r="G5" s="41"/>
      <c r="H5" s="41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7.399999999999999" x14ac:dyDescent="0.3">
      <c r="C8" s="9">
        <v>1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5">
      <c r="B16" s="5"/>
      <c r="C16" s="5" t="s">
        <v>11</v>
      </c>
      <c r="D16" s="10">
        <v>15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>
        <v>14</v>
      </c>
      <c r="E17" s="5" t="s">
        <v>13</v>
      </c>
      <c r="F17" s="5" t="s">
        <v>17</v>
      </c>
      <c r="G17" s="4">
        <f ca="1">SUM(OFFSET(G21,1,0,TaskRows,1))</f>
        <v>50</v>
      </c>
      <c r="H17" s="4">
        <f ca="1">IF(AND(SUM(OFFSET(H21,1,0,TaskRows,1))=0),0,SUM(OFFSET(H21,1,0,TaskRows,1)))</f>
        <v>50</v>
      </c>
      <c r="I17" s="4">
        <f t="shared" ref="I17:AF17" ca="1" si="0">IF(AND(SUM(OFFSET(I21,1,0,TaskRows,1))=0),"",SUM(OFFSET(I21,1,0,TaskRows,1)))</f>
        <v>49</v>
      </c>
      <c r="J17" s="4">
        <f t="shared" ca="1" si="0"/>
        <v>42</v>
      </c>
      <c r="K17" s="4">
        <f t="shared" ca="1" si="0"/>
        <v>35</v>
      </c>
      <c r="L17" s="4">
        <f t="shared" ca="1" si="0"/>
        <v>30</v>
      </c>
      <c r="M17" s="4">
        <f t="shared" ca="1" si="0"/>
        <v>18</v>
      </c>
      <c r="N17" s="4">
        <f t="shared" ca="1" si="0"/>
        <v>11</v>
      </c>
      <c r="O17" s="4">
        <f t="shared" ca="1" si="0"/>
        <v>8</v>
      </c>
      <c r="P17" s="4">
        <f t="shared" ca="1" si="0"/>
        <v>6</v>
      </c>
      <c r="Q17" s="4">
        <f t="shared" ca="1" si="0"/>
        <v>4</v>
      </c>
      <c r="R17" s="4">
        <f t="shared" ca="1" si="0"/>
        <v>2</v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IF(COUNTA(C22:C249)=0,1,COUNTA(C22:C249))</f>
        <v>35</v>
      </c>
      <c r="E18" t="s">
        <v>2</v>
      </c>
      <c r="F18" s="1">
        <f ca="1">IF(COUNTIF(H17:AF17,"&gt;0")=0,1,COUNTIF(H17:AF17,"&gt;0"))</f>
        <v>11</v>
      </c>
      <c r="H18" s="1">
        <f ca="1">IF(H21="","",$G17-$G17/($D16-1)*(H21-1))</f>
        <v>50</v>
      </c>
      <c r="I18" s="1">
        <f t="shared" ref="I18:AF18" ca="1" si="1">IF(I21="","",TotalEffort-TotalEffort/(ImplementationDays)*(I21-1))</f>
        <v>46.666666666666664</v>
      </c>
      <c r="J18" s="1">
        <f t="shared" ca="1" si="1"/>
        <v>43.333333333333336</v>
      </c>
      <c r="K18" s="1">
        <f t="shared" ca="1" si="1"/>
        <v>40</v>
      </c>
      <c r="L18" s="1">
        <f t="shared" ca="1" si="1"/>
        <v>36.666666666666664</v>
      </c>
      <c r="M18" s="1">
        <f t="shared" ca="1" si="1"/>
        <v>33.333333333333329</v>
      </c>
      <c r="N18" s="1">
        <f t="shared" ca="1" si="1"/>
        <v>30</v>
      </c>
      <c r="O18" s="1">
        <f t="shared" ca="1" si="1"/>
        <v>26.666666666666664</v>
      </c>
      <c r="P18" s="1">
        <f t="shared" ca="1" si="1"/>
        <v>23.333333333333332</v>
      </c>
      <c r="Q18" s="1">
        <f t="shared" ca="1" si="1"/>
        <v>20</v>
      </c>
      <c r="R18" s="1">
        <f t="shared" ca="1" si="1"/>
        <v>16.666666666666664</v>
      </c>
      <c r="S18" s="1">
        <f t="shared" ca="1" si="1"/>
        <v>13.333333333333329</v>
      </c>
      <c r="T18" s="1">
        <f t="shared" ca="1" si="1"/>
        <v>10</v>
      </c>
      <c r="U18" s="1">
        <f t="shared" ca="1" si="1"/>
        <v>6.6666666666666643</v>
      </c>
      <c r="V18" s="1">
        <f t="shared" ca="1" si="1"/>
        <v>3.3333333333333286</v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50.499999999999993</v>
      </c>
      <c r="I19" s="1">
        <f t="shared" ca="1" si="2"/>
        <v>45.036363636363632</v>
      </c>
      <c r="J19" s="1">
        <f t="shared" ca="1" si="2"/>
        <v>39.572727272727271</v>
      </c>
      <c r="K19" s="1">
        <f t="shared" ca="1" si="2"/>
        <v>34.109090909090909</v>
      </c>
      <c r="L19" s="1">
        <f t="shared" ca="1" si="2"/>
        <v>28.645454545454548</v>
      </c>
      <c r="M19" s="1">
        <f t="shared" ca="1" si="2"/>
        <v>23.181818181818187</v>
      </c>
      <c r="N19" s="1">
        <f t="shared" ca="1" si="2"/>
        <v>17.718181818181826</v>
      </c>
      <c r="O19" s="1">
        <f t="shared" ca="1" si="2"/>
        <v>12.254545454545465</v>
      </c>
      <c r="P19" s="1">
        <f t="shared" ca="1" si="2"/>
        <v>6.7909090909091034</v>
      </c>
      <c r="Q19" s="1">
        <f t="shared" ca="1" si="2"/>
        <v>1.3272727272727423</v>
      </c>
      <c r="R19" s="1" t="str">
        <f t="shared" ca="1" si="2"/>
        <v/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11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>
        <f t="shared" si="3"/>
        <v>11</v>
      </c>
      <c r="S21" s="6">
        <f t="shared" si="3"/>
        <v>12</v>
      </c>
      <c r="T21" s="6">
        <f t="shared" si="3"/>
        <v>13</v>
      </c>
      <c r="U21" s="6">
        <f t="shared" si="3"/>
        <v>14</v>
      </c>
      <c r="V21" s="6">
        <f t="shared" si="3"/>
        <v>15</v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B22">
        <v>1.1000000000000001</v>
      </c>
      <c r="C22" s="37" t="s">
        <v>49</v>
      </c>
      <c r="D22" s="38" t="s">
        <v>33</v>
      </c>
      <c r="E22" s="37" t="s">
        <v>27</v>
      </c>
      <c r="F22" t="s">
        <v>118</v>
      </c>
      <c r="G22" s="1">
        <v>2</v>
      </c>
      <c r="H22" s="1">
        <f t="shared" ref="H22:H56" si="4">IF(OR(H$21="",$G22=""),"",G22)</f>
        <v>2</v>
      </c>
      <c r="I22" s="1">
        <v>2</v>
      </c>
      <c r="J22" s="1">
        <v>2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5">
      <c r="B23">
        <v>1.2</v>
      </c>
      <c r="C23" s="37" t="s">
        <v>50</v>
      </c>
      <c r="D23" s="38" t="s">
        <v>33</v>
      </c>
      <c r="E23" s="37" t="s">
        <v>27</v>
      </c>
      <c r="F23" t="s">
        <v>118</v>
      </c>
      <c r="G23" s="1">
        <v>2</v>
      </c>
      <c r="H23" s="1">
        <f t="shared" si="4"/>
        <v>2</v>
      </c>
      <c r="I23" s="1">
        <v>2</v>
      </c>
      <c r="J23" s="1">
        <v>2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AE23" s="1" t="str">
        <f t="shared" si="5"/>
        <v/>
      </c>
      <c r="AF23" s="1" t="str">
        <f t="shared" si="5"/>
        <v/>
      </c>
    </row>
    <row r="24" spans="2:32" x14ac:dyDescent="0.25">
      <c r="B24">
        <v>1.3</v>
      </c>
      <c r="C24" s="37" t="s">
        <v>60</v>
      </c>
      <c r="D24" s="38" t="s">
        <v>33</v>
      </c>
      <c r="E24" s="37" t="s">
        <v>27</v>
      </c>
      <c r="F24" t="s">
        <v>118</v>
      </c>
      <c r="G24" s="1">
        <v>1</v>
      </c>
      <c r="H24" s="1">
        <f t="shared" si="4"/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AE24" s="1" t="str">
        <f t="shared" si="5"/>
        <v/>
      </c>
      <c r="AF24" s="1" t="str">
        <f t="shared" si="5"/>
        <v/>
      </c>
    </row>
    <row r="25" spans="2:32" x14ac:dyDescent="0.25">
      <c r="B25">
        <v>1.4</v>
      </c>
      <c r="C25" s="37" t="s">
        <v>51</v>
      </c>
      <c r="D25" s="38" t="s">
        <v>33</v>
      </c>
      <c r="E25" s="37" t="s">
        <v>27</v>
      </c>
      <c r="F25" t="s">
        <v>118</v>
      </c>
      <c r="G25" s="1">
        <v>1</v>
      </c>
      <c r="H25" s="1">
        <f t="shared" si="4"/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AE25" s="1" t="str">
        <f t="shared" si="5"/>
        <v/>
      </c>
      <c r="AF25" s="1" t="str">
        <f t="shared" si="5"/>
        <v/>
      </c>
    </row>
    <row r="26" spans="2:32" x14ac:dyDescent="0.25">
      <c r="B26">
        <v>1.5</v>
      </c>
      <c r="C26" s="37" t="s">
        <v>52</v>
      </c>
      <c r="D26" s="38" t="s">
        <v>33</v>
      </c>
      <c r="E26" s="37" t="s">
        <v>27</v>
      </c>
      <c r="F26" t="s">
        <v>118</v>
      </c>
      <c r="G26" s="1">
        <v>1</v>
      </c>
      <c r="H26" s="1">
        <f t="shared" ref="H26:H28" si="6">IF(OR(H$21="",$G26=""),"",G26)</f>
        <v>1</v>
      </c>
      <c r="I26" s="1">
        <v>1</v>
      </c>
      <c r="J26" s="1">
        <v>1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AE26" s="1" t="str">
        <f t="shared" si="5"/>
        <v/>
      </c>
      <c r="AF26" s="1" t="str">
        <f t="shared" si="5"/>
        <v/>
      </c>
    </row>
    <row r="27" spans="2:32" x14ac:dyDescent="0.25">
      <c r="B27">
        <v>2.1</v>
      </c>
      <c r="C27" s="37" t="s">
        <v>53</v>
      </c>
      <c r="D27" s="38" t="s">
        <v>34</v>
      </c>
      <c r="E27" s="37" t="s">
        <v>27</v>
      </c>
      <c r="F27" t="s">
        <v>118</v>
      </c>
      <c r="G27" s="1">
        <v>2</v>
      </c>
      <c r="H27" s="1">
        <f t="shared" si="6"/>
        <v>2</v>
      </c>
      <c r="I27" s="1">
        <v>2</v>
      </c>
      <c r="J27" s="1">
        <v>2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AE27" s="1" t="str">
        <f t="shared" si="5"/>
        <v/>
      </c>
      <c r="AF27" s="1" t="str">
        <f t="shared" si="5"/>
        <v/>
      </c>
    </row>
    <row r="28" spans="2:32" x14ac:dyDescent="0.25">
      <c r="B28">
        <v>2.2000000000000002</v>
      </c>
      <c r="C28" s="37" t="s">
        <v>59</v>
      </c>
      <c r="D28" s="38" t="s">
        <v>34</v>
      </c>
      <c r="E28" s="37" t="s">
        <v>27</v>
      </c>
      <c r="F28" t="s">
        <v>118</v>
      </c>
      <c r="G28" s="1">
        <v>1</v>
      </c>
      <c r="H28" s="1">
        <f t="shared" si="6"/>
        <v>1</v>
      </c>
      <c r="I28" s="1">
        <v>1</v>
      </c>
      <c r="J28" s="1">
        <v>1</v>
      </c>
      <c r="K28" s="1">
        <v>1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AE28" s="1" t="str">
        <f t="shared" si="5"/>
        <v/>
      </c>
      <c r="AF28" s="1" t="str">
        <f t="shared" si="5"/>
        <v/>
      </c>
    </row>
    <row r="29" spans="2:32" x14ac:dyDescent="0.25">
      <c r="B29">
        <v>2.2999999999999998</v>
      </c>
      <c r="C29" s="37" t="s">
        <v>54</v>
      </c>
      <c r="D29" s="38" t="s">
        <v>34</v>
      </c>
      <c r="E29" s="37" t="s">
        <v>27</v>
      </c>
      <c r="F29" t="s">
        <v>118</v>
      </c>
      <c r="G29" s="1">
        <v>2</v>
      </c>
      <c r="H29" s="1">
        <f t="shared" si="4"/>
        <v>2</v>
      </c>
      <c r="I29" s="1">
        <v>2</v>
      </c>
      <c r="J29" s="1">
        <v>2</v>
      </c>
      <c r="K29" s="1">
        <v>2</v>
      </c>
      <c r="L29" s="1">
        <v>2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AE29" s="1" t="str">
        <f t="shared" si="5"/>
        <v/>
      </c>
      <c r="AF29" s="1" t="str">
        <f t="shared" si="5"/>
        <v/>
      </c>
    </row>
    <row r="30" spans="2:32" x14ac:dyDescent="0.25">
      <c r="B30">
        <v>2.4</v>
      </c>
      <c r="C30" s="37" t="s">
        <v>55</v>
      </c>
      <c r="D30" s="38" t="s">
        <v>34</v>
      </c>
      <c r="E30" s="37" t="s">
        <v>27</v>
      </c>
      <c r="F30" t="s">
        <v>118</v>
      </c>
      <c r="G30" s="1">
        <v>1</v>
      </c>
      <c r="H30" s="1">
        <f t="shared" si="4"/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AE30" s="1" t="str">
        <f t="shared" si="5"/>
        <v/>
      </c>
      <c r="AF30" s="1" t="str">
        <f t="shared" si="5"/>
        <v/>
      </c>
    </row>
    <row r="31" spans="2:32" x14ac:dyDescent="0.25">
      <c r="B31">
        <v>2.5</v>
      </c>
      <c r="C31" s="37" t="s">
        <v>56</v>
      </c>
      <c r="D31" s="38" t="s">
        <v>34</v>
      </c>
      <c r="E31" s="37" t="s">
        <v>27</v>
      </c>
      <c r="F31" t="s">
        <v>118</v>
      </c>
      <c r="G31" s="1">
        <v>1</v>
      </c>
      <c r="H31" s="1">
        <f t="shared" si="4"/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AE31" s="1" t="str">
        <f t="shared" si="5"/>
        <v/>
      </c>
      <c r="AF31" s="1" t="str">
        <f t="shared" si="5"/>
        <v/>
      </c>
    </row>
    <row r="32" spans="2:32" x14ac:dyDescent="0.25">
      <c r="B32">
        <v>3.1</v>
      </c>
      <c r="C32" s="37" t="s">
        <v>57</v>
      </c>
      <c r="D32" s="38" t="s">
        <v>35</v>
      </c>
      <c r="E32" s="37" t="s">
        <v>28</v>
      </c>
      <c r="F32" t="s">
        <v>118</v>
      </c>
      <c r="G32" s="1">
        <v>2</v>
      </c>
      <c r="H32" s="1">
        <f t="shared" si="4"/>
        <v>2</v>
      </c>
      <c r="I32" s="1">
        <v>2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AE32" s="1" t="str">
        <f t="shared" si="5"/>
        <v/>
      </c>
      <c r="AF32" s="1" t="str">
        <f t="shared" si="5"/>
        <v/>
      </c>
    </row>
    <row r="33" spans="2:32" x14ac:dyDescent="0.25">
      <c r="B33">
        <v>3.2</v>
      </c>
      <c r="C33" s="37" t="s">
        <v>58</v>
      </c>
      <c r="D33" s="38" t="s">
        <v>35</v>
      </c>
      <c r="E33" s="37" t="s">
        <v>28</v>
      </c>
      <c r="F33" t="s">
        <v>118</v>
      </c>
      <c r="G33" s="1">
        <v>1</v>
      </c>
      <c r="H33" s="1">
        <f t="shared" si="4"/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AE33" s="1" t="str">
        <f t="shared" si="5"/>
        <v/>
      </c>
      <c r="AF33" s="1" t="str">
        <f t="shared" si="5"/>
        <v/>
      </c>
    </row>
    <row r="34" spans="2:32" x14ac:dyDescent="0.25">
      <c r="B34">
        <v>3.3</v>
      </c>
      <c r="C34" s="37" t="s">
        <v>62</v>
      </c>
      <c r="D34" s="38" t="s">
        <v>35</v>
      </c>
      <c r="E34" s="37" t="s">
        <v>28</v>
      </c>
      <c r="F34" t="s">
        <v>118</v>
      </c>
      <c r="G34" s="1">
        <v>2</v>
      </c>
      <c r="H34" s="1">
        <f t="shared" si="4"/>
        <v>2</v>
      </c>
      <c r="I34" s="1">
        <v>2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AE34" s="1" t="str">
        <f t="shared" si="5"/>
        <v/>
      </c>
      <c r="AF34" s="1" t="str">
        <f t="shared" si="5"/>
        <v/>
      </c>
    </row>
    <row r="35" spans="2:32" x14ac:dyDescent="0.25">
      <c r="B35">
        <v>3.4</v>
      </c>
      <c r="C35" s="37" t="s">
        <v>61</v>
      </c>
      <c r="D35" s="38" t="s">
        <v>35</v>
      </c>
      <c r="E35" s="37" t="s">
        <v>28</v>
      </c>
      <c r="F35" t="s">
        <v>118</v>
      </c>
      <c r="G35" s="1">
        <v>1</v>
      </c>
      <c r="H35" s="1">
        <f t="shared" si="4"/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AE35" s="1" t="str">
        <f t="shared" si="5"/>
        <v/>
      </c>
      <c r="AF35" s="1" t="str">
        <f t="shared" si="5"/>
        <v/>
      </c>
    </row>
    <row r="36" spans="2:32" x14ac:dyDescent="0.25">
      <c r="B36">
        <v>3.5</v>
      </c>
      <c r="C36" s="37" t="s">
        <v>63</v>
      </c>
      <c r="D36" s="38" t="s">
        <v>35</v>
      </c>
      <c r="E36" s="37" t="s">
        <v>28</v>
      </c>
      <c r="F36" t="s">
        <v>118</v>
      </c>
      <c r="G36" s="1">
        <v>1</v>
      </c>
      <c r="H36" s="1">
        <f t="shared" si="4"/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AE36" s="1" t="str">
        <f t="shared" si="5"/>
        <v/>
      </c>
      <c r="AF36" s="1" t="str">
        <f t="shared" si="5"/>
        <v/>
      </c>
    </row>
    <row r="37" spans="2:32" x14ac:dyDescent="0.25">
      <c r="B37">
        <v>5.0999999999999996</v>
      </c>
      <c r="C37" s="37" t="s">
        <v>64</v>
      </c>
      <c r="D37" s="38" t="s">
        <v>37</v>
      </c>
      <c r="E37" s="37" t="s">
        <v>29</v>
      </c>
      <c r="F37" t="s">
        <v>118</v>
      </c>
      <c r="G37" s="1">
        <v>2</v>
      </c>
      <c r="H37" s="1">
        <f t="shared" si="4"/>
        <v>2</v>
      </c>
      <c r="I37" s="1">
        <v>2</v>
      </c>
      <c r="J37" s="1">
        <v>2</v>
      </c>
      <c r="K37" s="1">
        <v>2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AE37" s="1" t="str">
        <f t="shared" si="5"/>
        <v/>
      </c>
      <c r="AF37" s="1" t="str">
        <f t="shared" si="5"/>
        <v/>
      </c>
    </row>
    <row r="38" spans="2:32" x14ac:dyDescent="0.25">
      <c r="B38">
        <v>5.2</v>
      </c>
      <c r="C38" s="37" t="s">
        <v>65</v>
      </c>
      <c r="D38" s="38" t="s">
        <v>37</v>
      </c>
      <c r="E38" s="37" t="s">
        <v>29</v>
      </c>
      <c r="F38" t="s">
        <v>118</v>
      </c>
      <c r="G38" s="1">
        <v>1</v>
      </c>
      <c r="H38" s="1">
        <f t="shared" si="4"/>
        <v>1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AE38" s="1" t="str">
        <f t="shared" ref="AE38:AF53" si="7">IF(OR(AE$21="",$G38=""),"",AD38)</f>
        <v/>
      </c>
      <c r="AF38" s="1" t="str">
        <f t="shared" si="7"/>
        <v/>
      </c>
    </row>
    <row r="39" spans="2:32" x14ac:dyDescent="0.25">
      <c r="B39">
        <v>5.3</v>
      </c>
      <c r="C39" s="37" t="s">
        <v>66</v>
      </c>
      <c r="D39" s="38" t="s">
        <v>37</v>
      </c>
      <c r="E39" s="37" t="s">
        <v>29</v>
      </c>
      <c r="F39" t="s">
        <v>118</v>
      </c>
      <c r="G39" s="1">
        <v>2</v>
      </c>
      <c r="H39" s="1">
        <f t="shared" si="4"/>
        <v>2</v>
      </c>
      <c r="I39" s="1">
        <v>2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AE39" s="1" t="str">
        <f t="shared" si="7"/>
        <v/>
      </c>
      <c r="AF39" s="1" t="str">
        <f t="shared" si="7"/>
        <v/>
      </c>
    </row>
    <row r="40" spans="2:32" x14ac:dyDescent="0.25">
      <c r="B40">
        <v>5.4</v>
      </c>
      <c r="C40" s="37" t="s">
        <v>67</v>
      </c>
      <c r="D40" s="38" t="s">
        <v>37</v>
      </c>
      <c r="E40" s="37" t="s">
        <v>29</v>
      </c>
      <c r="F40" t="s">
        <v>118</v>
      </c>
      <c r="G40" s="1">
        <v>1</v>
      </c>
      <c r="H40" s="1">
        <f t="shared" si="4"/>
        <v>1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AE40" s="1" t="str">
        <f t="shared" si="7"/>
        <v/>
      </c>
      <c r="AF40" s="1" t="str">
        <f t="shared" si="7"/>
        <v/>
      </c>
    </row>
    <row r="41" spans="2:32" x14ac:dyDescent="0.25">
      <c r="B41">
        <v>5.5</v>
      </c>
      <c r="C41" s="37" t="s">
        <v>67</v>
      </c>
      <c r="D41" s="38" t="s">
        <v>37</v>
      </c>
      <c r="E41" s="37" t="s">
        <v>29</v>
      </c>
      <c r="F41" t="s">
        <v>118</v>
      </c>
      <c r="G41" s="1">
        <v>1</v>
      </c>
      <c r="H41" s="1">
        <f t="shared" si="4"/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AE41" s="1" t="str">
        <f t="shared" si="7"/>
        <v/>
      </c>
      <c r="AF41" s="1" t="str">
        <f t="shared" si="7"/>
        <v/>
      </c>
    </row>
    <row r="42" spans="2:32" x14ac:dyDescent="0.25">
      <c r="B42">
        <v>10.1</v>
      </c>
      <c r="C42" s="37" t="s">
        <v>68</v>
      </c>
      <c r="D42" s="38" t="s">
        <v>40</v>
      </c>
      <c r="E42" s="37" t="s">
        <v>30</v>
      </c>
      <c r="F42" t="s">
        <v>118</v>
      </c>
      <c r="G42" s="1">
        <v>2</v>
      </c>
      <c r="H42" s="1">
        <f t="shared" si="4"/>
        <v>2</v>
      </c>
      <c r="I42" s="1">
        <v>2</v>
      </c>
      <c r="J42" s="1">
        <v>2</v>
      </c>
      <c r="K42" s="1">
        <v>1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AE42" s="1" t="str">
        <f t="shared" si="7"/>
        <v/>
      </c>
      <c r="AF42" s="1" t="str">
        <f t="shared" si="7"/>
        <v/>
      </c>
    </row>
    <row r="43" spans="2:32" x14ac:dyDescent="0.25">
      <c r="B43">
        <v>10.199999999999999</v>
      </c>
      <c r="C43" s="37" t="s">
        <v>69</v>
      </c>
      <c r="D43" s="38" t="s">
        <v>40</v>
      </c>
      <c r="E43" s="37" t="s">
        <v>30</v>
      </c>
      <c r="F43" t="s">
        <v>118</v>
      </c>
      <c r="G43" s="1">
        <v>2</v>
      </c>
      <c r="H43" s="1">
        <f t="shared" si="4"/>
        <v>2</v>
      </c>
      <c r="I43" s="1">
        <v>2</v>
      </c>
      <c r="J43" s="1">
        <v>2</v>
      </c>
      <c r="K43" s="1">
        <v>2</v>
      </c>
      <c r="L43" s="1">
        <v>1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AE43" s="1" t="str">
        <f t="shared" si="7"/>
        <v/>
      </c>
      <c r="AF43" s="1" t="str">
        <f t="shared" si="7"/>
        <v/>
      </c>
    </row>
    <row r="44" spans="2:32" x14ac:dyDescent="0.25">
      <c r="B44">
        <v>10.3</v>
      </c>
      <c r="C44" s="37" t="s">
        <v>70</v>
      </c>
      <c r="D44" s="38" t="s">
        <v>40</v>
      </c>
      <c r="E44" s="37" t="s">
        <v>30</v>
      </c>
      <c r="F44" t="s">
        <v>118</v>
      </c>
      <c r="G44" s="1">
        <v>1</v>
      </c>
      <c r="H44" s="1">
        <f t="shared" si="4"/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AE44" s="1" t="str">
        <f t="shared" si="7"/>
        <v/>
      </c>
      <c r="AF44" s="1" t="str">
        <f t="shared" si="7"/>
        <v/>
      </c>
    </row>
    <row r="45" spans="2:32" x14ac:dyDescent="0.25">
      <c r="B45">
        <v>10.4</v>
      </c>
      <c r="C45" s="37" t="s">
        <v>71</v>
      </c>
      <c r="D45" s="38" t="s">
        <v>40</v>
      </c>
      <c r="E45" s="37" t="s">
        <v>30</v>
      </c>
      <c r="F45" t="s">
        <v>118</v>
      </c>
      <c r="G45" s="1">
        <v>1</v>
      </c>
      <c r="H45" s="1">
        <f t="shared" si="4"/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AE45" s="1" t="str">
        <f t="shared" si="7"/>
        <v/>
      </c>
      <c r="AF45" s="1" t="str">
        <f t="shared" si="7"/>
        <v/>
      </c>
    </row>
    <row r="46" spans="2:32" x14ac:dyDescent="0.25">
      <c r="B46">
        <v>10.5</v>
      </c>
      <c r="C46" s="37" t="s">
        <v>72</v>
      </c>
      <c r="D46" s="38" t="s">
        <v>40</v>
      </c>
      <c r="E46" s="37" t="s">
        <v>30</v>
      </c>
      <c r="F46" t="s">
        <v>118</v>
      </c>
      <c r="G46" s="1">
        <v>1</v>
      </c>
      <c r="H46" s="1">
        <f t="shared" si="4"/>
        <v>1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AE46" s="1" t="str">
        <f t="shared" si="7"/>
        <v/>
      </c>
      <c r="AF46" s="1" t="str">
        <f t="shared" si="7"/>
        <v/>
      </c>
    </row>
    <row r="47" spans="2:32" x14ac:dyDescent="0.25">
      <c r="B47">
        <v>11.1</v>
      </c>
      <c r="C47" s="37" t="s">
        <v>73</v>
      </c>
      <c r="D47" s="1" t="s">
        <v>41</v>
      </c>
      <c r="E47" s="37" t="s">
        <v>32</v>
      </c>
      <c r="F47" t="s">
        <v>119</v>
      </c>
      <c r="G47" s="1">
        <v>2</v>
      </c>
      <c r="H47" s="1">
        <f t="shared" si="4"/>
        <v>2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AE47" s="1" t="str">
        <f t="shared" si="7"/>
        <v/>
      </c>
      <c r="AF47" s="1" t="str">
        <f t="shared" si="7"/>
        <v/>
      </c>
    </row>
    <row r="48" spans="2:32" x14ac:dyDescent="0.25">
      <c r="B48">
        <v>11.2</v>
      </c>
      <c r="C48" s="37" t="s">
        <v>74</v>
      </c>
      <c r="D48" s="1" t="s">
        <v>41</v>
      </c>
      <c r="E48" s="37" t="s">
        <v>32</v>
      </c>
      <c r="F48" t="s">
        <v>119</v>
      </c>
      <c r="G48" s="1">
        <v>2</v>
      </c>
      <c r="H48" s="1">
        <f t="shared" si="4"/>
        <v>2</v>
      </c>
      <c r="I48" s="1">
        <v>2</v>
      </c>
      <c r="J48" s="1">
        <v>2</v>
      </c>
      <c r="K48" s="1">
        <v>1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AE48" s="1" t="str">
        <f t="shared" si="7"/>
        <v/>
      </c>
      <c r="AF48" s="1" t="str">
        <f t="shared" si="7"/>
        <v/>
      </c>
    </row>
    <row r="49" spans="2:32" x14ac:dyDescent="0.25">
      <c r="B49">
        <v>11.3</v>
      </c>
      <c r="C49" s="37" t="s">
        <v>70</v>
      </c>
      <c r="D49" s="1" t="s">
        <v>41</v>
      </c>
      <c r="E49" s="37" t="s">
        <v>32</v>
      </c>
      <c r="F49" t="s">
        <v>119</v>
      </c>
      <c r="G49" s="1">
        <v>1</v>
      </c>
      <c r="H49" s="1">
        <f t="shared" si="4"/>
        <v>1</v>
      </c>
      <c r="I49" s="1">
        <v>1</v>
      </c>
      <c r="J49" s="1">
        <v>1</v>
      </c>
      <c r="K49" s="1">
        <v>1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AE49" s="1" t="str">
        <f t="shared" si="7"/>
        <v/>
      </c>
      <c r="AF49" s="1" t="str">
        <f t="shared" si="7"/>
        <v/>
      </c>
    </row>
    <row r="50" spans="2:32" x14ac:dyDescent="0.25">
      <c r="B50">
        <v>11.4</v>
      </c>
      <c r="C50" s="37" t="s">
        <v>71</v>
      </c>
      <c r="D50" s="1" t="s">
        <v>41</v>
      </c>
      <c r="E50" s="37" t="s">
        <v>32</v>
      </c>
      <c r="F50" t="s">
        <v>119</v>
      </c>
      <c r="G50" s="1">
        <v>1</v>
      </c>
      <c r="H50" s="1">
        <f t="shared" si="4"/>
        <v>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AE50" s="1" t="str">
        <f t="shared" si="7"/>
        <v/>
      </c>
      <c r="AF50" s="1" t="str">
        <f t="shared" si="7"/>
        <v/>
      </c>
    </row>
    <row r="51" spans="2:32" x14ac:dyDescent="0.25">
      <c r="B51">
        <v>11.5</v>
      </c>
      <c r="C51" s="37" t="s">
        <v>75</v>
      </c>
      <c r="D51" s="1" t="s">
        <v>41</v>
      </c>
      <c r="E51" s="37" t="s">
        <v>32</v>
      </c>
      <c r="F51" t="s">
        <v>119</v>
      </c>
      <c r="G51" s="1">
        <v>1</v>
      </c>
      <c r="H51" s="1">
        <f t="shared" si="4"/>
        <v>1</v>
      </c>
      <c r="I51" s="1">
        <v>1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AE51" s="1" t="str">
        <f t="shared" si="7"/>
        <v/>
      </c>
      <c r="AF51" s="1" t="str">
        <f t="shared" si="7"/>
        <v/>
      </c>
    </row>
    <row r="52" spans="2:32" x14ac:dyDescent="0.25">
      <c r="B52">
        <v>15.1</v>
      </c>
      <c r="C52" s="37" t="s">
        <v>76</v>
      </c>
      <c r="D52" s="1" t="s">
        <v>42</v>
      </c>
      <c r="E52" s="37" t="s">
        <v>31</v>
      </c>
      <c r="F52" t="s">
        <v>119</v>
      </c>
      <c r="G52" s="1">
        <v>2</v>
      </c>
      <c r="H52" s="1">
        <f t="shared" si="4"/>
        <v>2</v>
      </c>
      <c r="I52" s="1">
        <v>2</v>
      </c>
      <c r="J52" s="1">
        <v>2</v>
      </c>
      <c r="K52" s="1">
        <v>1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AE52" s="1" t="str">
        <f t="shared" si="7"/>
        <v/>
      </c>
      <c r="AF52" s="1" t="str">
        <f t="shared" si="7"/>
        <v/>
      </c>
    </row>
    <row r="53" spans="2:32" x14ac:dyDescent="0.25">
      <c r="B53">
        <v>15.2</v>
      </c>
      <c r="C53" s="37" t="s">
        <v>78</v>
      </c>
      <c r="D53" s="1" t="s">
        <v>42</v>
      </c>
      <c r="E53" s="37" t="s">
        <v>31</v>
      </c>
      <c r="F53" t="s">
        <v>119</v>
      </c>
      <c r="G53" s="1">
        <v>2</v>
      </c>
      <c r="H53" s="1">
        <f t="shared" si="4"/>
        <v>2</v>
      </c>
      <c r="I53" s="1">
        <v>2</v>
      </c>
      <c r="J53" s="1">
        <v>2</v>
      </c>
      <c r="K53" s="1">
        <v>1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AE53" s="1" t="str">
        <f t="shared" si="7"/>
        <v/>
      </c>
      <c r="AF53" s="1" t="str">
        <f t="shared" si="7"/>
        <v/>
      </c>
    </row>
    <row r="54" spans="2:32" x14ac:dyDescent="0.25">
      <c r="B54">
        <v>15.3</v>
      </c>
      <c r="C54" s="37" t="s">
        <v>77</v>
      </c>
      <c r="D54" s="1" t="s">
        <v>42</v>
      </c>
      <c r="E54" s="37" t="s">
        <v>31</v>
      </c>
      <c r="F54" t="s">
        <v>119</v>
      </c>
      <c r="G54" s="1">
        <v>2</v>
      </c>
      <c r="H54" s="1">
        <f t="shared" si="4"/>
        <v>2</v>
      </c>
      <c r="I54" s="1">
        <v>2</v>
      </c>
      <c r="J54" s="1">
        <v>2</v>
      </c>
      <c r="K54" s="1">
        <v>2</v>
      </c>
      <c r="L54" s="1">
        <v>1</v>
      </c>
      <c r="M54" s="1">
        <v>1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AE54" s="1" t="str">
        <f t="shared" ref="AE54:AF65" si="8">IF(OR(AE$21="",$G54=""),"",AD54)</f>
        <v/>
      </c>
      <c r="AF54" s="1" t="str">
        <f t="shared" si="8"/>
        <v/>
      </c>
    </row>
    <row r="55" spans="2:32" x14ac:dyDescent="0.25">
      <c r="B55">
        <v>15.4</v>
      </c>
      <c r="C55" s="37" t="s">
        <v>79</v>
      </c>
      <c r="D55" s="1" t="s">
        <v>42</v>
      </c>
      <c r="E55" s="37" t="s">
        <v>31</v>
      </c>
      <c r="F55" t="s">
        <v>119</v>
      </c>
      <c r="G55" s="1">
        <v>1</v>
      </c>
      <c r="H55" s="1">
        <f t="shared" si="4"/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AE55" s="1" t="str">
        <f t="shared" si="8"/>
        <v/>
      </c>
      <c r="AF55" s="1" t="str">
        <f t="shared" si="8"/>
        <v/>
      </c>
    </row>
    <row r="56" spans="2:32" x14ac:dyDescent="0.25">
      <c r="B56">
        <v>15.5</v>
      </c>
      <c r="C56" s="37" t="s">
        <v>75</v>
      </c>
      <c r="D56" s="1" t="s">
        <v>42</v>
      </c>
      <c r="E56" s="37" t="s">
        <v>31</v>
      </c>
      <c r="F56" t="s">
        <v>119</v>
      </c>
      <c r="G56" s="1">
        <v>1</v>
      </c>
      <c r="H56" s="1">
        <f t="shared" si="4"/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AE56" s="1" t="str">
        <f t="shared" si="8"/>
        <v/>
      </c>
      <c r="AF56" s="1" t="str">
        <f t="shared" si="8"/>
        <v/>
      </c>
    </row>
    <row r="57" spans="2:32" x14ac:dyDescent="0.25">
      <c r="AE57" s="1" t="str">
        <f t="shared" si="8"/>
        <v/>
      </c>
      <c r="AF57" s="1" t="str">
        <f t="shared" si="8"/>
        <v/>
      </c>
    </row>
    <row r="58" spans="2:32" x14ac:dyDescent="0.25">
      <c r="AE58" s="1" t="str">
        <f t="shared" si="8"/>
        <v/>
      </c>
      <c r="AF58" s="1" t="str">
        <f t="shared" si="8"/>
        <v/>
      </c>
    </row>
    <row r="59" spans="2:32" x14ac:dyDescent="0.25">
      <c r="AE59" s="1" t="str">
        <f t="shared" si="8"/>
        <v/>
      </c>
      <c r="AF59" s="1" t="str">
        <f t="shared" si="8"/>
        <v/>
      </c>
    </row>
    <row r="60" spans="2:32" x14ac:dyDescent="0.25">
      <c r="AE60" s="1" t="str">
        <f t="shared" si="8"/>
        <v/>
      </c>
      <c r="AF60" s="1" t="str">
        <f t="shared" si="8"/>
        <v/>
      </c>
    </row>
    <row r="61" spans="2:32" x14ac:dyDescent="0.25">
      <c r="AE61" s="1" t="str">
        <f t="shared" si="8"/>
        <v/>
      </c>
      <c r="AF61" s="1" t="str">
        <f t="shared" si="8"/>
        <v/>
      </c>
    </row>
    <row r="62" spans="2:32" x14ac:dyDescent="0.25">
      <c r="S62" s="1" t="str">
        <f t="shared" ref="S62:AD62" si="9">IF(OR(S$21="",$G62=""),"",R62)</f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2:32" x14ac:dyDescent="0.25">
      <c r="S63" s="1" t="str">
        <f t="shared" ref="S63:AD63" si="10">IF(OR(S$21="",$G63=""),"",R63)</f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2:32" x14ac:dyDescent="0.25">
      <c r="AE64" s="1" t="str">
        <f t="shared" si="8"/>
        <v/>
      </c>
      <c r="AF64" s="1" t="str">
        <f t="shared" si="8"/>
        <v/>
      </c>
    </row>
    <row r="65" spans="6:32" x14ac:dyDescent="0.25">
      <c r="AE65" s="1" t="str">
        <f t="shared" si="8"/>
        <v/>
      </c>
      <c r="AF65" s="1" t="str">
        <f t="shared" si="8"/>
        <v/>
      </c>
    </row>
    <row r="71" spans="6:32" x14ac:dyDescent="0.25">
      <c r="F71" t="str">
        <f>IF(C71&lt;&gt;"","Planned","")</f>
        <v/>
      </c>
    </row>
  </sheetData>
  <mergeCells count="3">
    <mergeCell ref="D3:H3"/>
    <mergeCell ref="D4:H4"/>
    <mergeCell ref="D5:H5"/>
  </mergeCells>
  <phoneticPr fontId="6" type="noConversion"/>
  <conditionalFormatting sqref="E26:E36 D52 C62:AF65 D38:D42 E47:E51 S23:AF56 C57:H61 J57:AF61 G26:H56 V22:AF22 V23:V61">
    <cfRule type="expression" dxfId="109" priority="73" stopIfTrue="1">
      <formula>$F22="Done"</formula>
    </cfRule>
    <cfRule type="expression" dxfId="108" priority="74" stopIfTrue="1">
      <formula>$F22="Ongoing"</formula>
    </cfRule>
  </conditionalFormatting>
  <conditionalFormatting sqref="B62:AF65 B23:B56 E47:E51 D38:D42 D52 E23:E36 B57:H61 I26:I61 G23:I25 G26:H56 B22:AF22 J23:AF61 F23:F56">
    <cfRule type="expression" dxfId="107" priority="75" stopIfTrue="1">
      <formula>$F22="Terminado"</formula>
    </cfRule>
    <cfRule type="expression" dxfId="106" priority="76" stopIfTrue="1">
      <formula>$F22="En Progreso"</formula>
    </cfRule>
  </conditionalFormatting>
  <conditionalFormatting sqref="D23">
    <cfRule type="expression" dxfId="105" priority="71" stopIfTrue="1">
      <formula>$F23="Terminado"</formula>
    </cfRule>
    <cfRule type="expression" dxfId="104" priority="72" stopIfTrue="1">
      <formula>$F23="En Progreso"</formula>
    </cfRule>
  </conditionalFormatting>
  <conditionalFormatting sqref="D24">
    <cfRule type="expression" dxfId="103" priority="69" stopIfTrue="1">
      <formula>$F24="Terminado"</formula>
    </cfRule>
    <cfRule type="expression" dxfId="102" priority="70" stopIfTrue="1">
      <formula>$F24="En Progreso"</formula>
    </cfRule>
  </conditionalFormatting>
  <conditionalFormatting sqref="D25">
    <cfRule type="expression" dxfId="101" priority="67" stopIfTrue="1">
      <formula>$F25="Terminado"</formula>
    </cfRule>
    <cfRule type="expression" dxfId="100" priority="68" stopIfTrue="1">
      <formula>$F25="En Progreso"</formula>
    </cfRule>
  </conditionalFormatting>
  <conditionalFormatting sqref="D26">
    <cfRule type="expression" dxfId="99" priority="65" stopIfTrue="1">
      <formula>$F26="Terminado"</formula>
    </cfRule>
    <cfRule type="expression" dxfId="98" priority="66" stopIfTrue="1">
      <formula>$F26="En Progreso"</formula>
    </cfRule>
  </conditionalFormatting>
  <conditionalFormatting sqref="D31">
    <cfRule type="expression" dxfId="97" priority="53" stopIfTrue="1">
      <formula>$F22="Terminado"</formula>
    </cfRule>
    <cfRule type="expression" dxfId="96" priority="54" stopIfTrue="1">
      <formula>$F22="En Progreso"</formula>
    </cfRule>
  </conditionalFormatting>
  <conditionalFormatting sqref="D42">
    <cfRule type="expression" dxfId="95" priority="87" stopIfTrue="1">
      <formula>$F24="Terminado"</formula>
    </cfRule>
    <cfRule type="expression" dxfId="94" priority="88" stopIfTrue="1">
      <formula>$F24="En Progreso"</formula>
    </cfRule>
  </conditionalFormatting>
  <conditionalFormatting sqref="D32:D36">
    <cfRule type="expression" dxfId="93" priority="47" stopIfTrue="1">
      <formula>$F32="Done"</formula>
    </cfRule>
    <cfRule type="expression" dxfId="92" priority="48" stopIfTrue="1">
      <formula>$F32="Ongoing"</formula>
    </cfRule>
  </conditionalFormatting>
  <conditionalFormatting sqref="D32:D36">
    <cfRule type="expression" dxfId="91" priority="49" stopIfTrue="1">
      <formula>$F32="Terminado"</formula>
    </cfRule>
    <cfRule type="expression" dxfId="90" priority="50" stopIfTrue="1">
      <formula>$F32="En Progreso"</formula>
    </cfRule>
  </conditionalFormatting>
  <conditionalFormatting sqref="D32:D36">
    <cfRule type="expression" dxfId="89" priority="51" stopIfTrue="1">
      <formula>$F14="Terminado"</formula>
    </cfRule>
    <cfRule type="expression" dxfId="88" priority="52" stopIfTrue="1">
      <formula>$F14="En Progreso"</formula>
    </cfRule>
  </conditionalFormatting>
  <conditionalFormatting sqref="D37">
    <cfRule type="expression" dxfId="87" priority="41" stopIfTrue="1">
      <formula>$F37="Done"</formula>
    </cfRule>
    <cfRule type="expression" dxfId="86" priority="42" stopIfTrue="1">
      <formula>$F37="Ongoing"</formula>
    </cfRule>
  </conditionalFormatting>
  <conditionalFormatting sqref="D37">
    <cfRule type="expression" dxfId="85" priority="43" stopIfTrue="1">
      <formula>$F37="Terminado"</formula>
    </cfRule>
    <cfRule type="expression" dxfId="84" priority="44" stopIfTrue="1">
      <formula>$F37="En Progreso"</formula>
    </cfRule>
  </conditionalFormatting>
  <conditionalFormatting sqref="D37">
    <cfRule type="expression" dxfId="83" priority="45" stopIfTrue="1">
      <formula>$F19="Terminado"</formula>
    </cfRule>
    <cfRule type="expression" dxfId="82" priority="46" stopIfTrue="1">
      <formula>$F19="En Progreso"</formula>
    </cfRule>
  </conditionalFormatting>
  <conditionalFormatting sqref="D38:D41">
    <cfRule type="expression" dxfId="81" priority="39" stopIfTrue="1">
      <formula>$F20="Terminado"</formula>
    </cfRule>
    <cfRule type="expression" dxfId="80" priority="40" stopIfTrue="1">
      <formula>$F20="En Progreso"</formula>
    </cfRule>
  </conditionalFormatting>
  <conditionalFormatting sqref="D42">
    <cfRule type="expression" dxfId="79" priority="37" stopIfTrue="1">
      <formula>$F24="Done"</formula>
    </cfRule>
    <cfRule type="expression" dxfId="78" priority="38" stopIfTrue="1">
      <formula>$F24="Ongoing"</formula>
    </cfRule>
  </conditionalFormatting>
  <conditionalFormatting sqref="D43:D46">
    <cfRule type="expression" dxfId="77" priority="31" stopIfTrue="1">
      <formula>$F43="Done"</formula>
    </cfRule>
    <cfRule type="expression" dxfId="76" priority="32" stopIfTrue="1">
      <formula>$F43="Ongoing"</formula>
    </cfRule>
  </conditionalFormatting>
  <conditionalFormatting sqref="D43:D46">
    <cfRule type="expression" dxfId="75" priority="33" stopIfTrue="1">
      <formula>$F43="Terminado"</formula>
    </cfRule>
    <cfRule type="expression" dxfId="74" priority="34" stopIfTrue="1">
      <formula>$F43="En Progreso"</formula>
    </cfRule>
  </conditionalFormatting>
  <conditionalFormatting sqref="D43:D46">
    <cfRule type="expression" dxfId="73" priority="35" stopIfTrue="1">
      <formula>$F25="Terminado"</formula>
    </cfRule>
    <cfRule type="expression" dxfId="72" priority="36" stopIfTrue="1">
      <formula>$F25="En Progreso"</formula>
    </cfRule>
  </conditionalFormatting>
  <conditionalFormatting sqref="D43:D46">
    <cfRule type="expression" dxfId="71" priority="29" stopIfTrue="1">
      <formula>$F25="Done"</formula>
    </cfRule>
    <cfRule type="expression" dxfId="70" priority="30" stopIfTrue="1">
      <formula>$F25="Ongoing"</formula>
    </cfRule>
  </conditionalFormatting>
  <conditionalFormatting sqref="D53:D56">
    <cfRule type="expression" dxfId="61" priority="17" stopIfTrue="1">
      <formula>$F53="Done"</formula>
    </cfRule>
    <cfRule type="expression" dxfId="60" priority="18" stopIfTrue="1">
      <formula>$F53="Ongoing"</formula>
    </cfRule>
  </conditionalFormatting>
  <conditionalFormatting sqref="D53:D56">
    <cfRule type="expression" dxfId="59" priority="19" stopIfTrue="1">
      <formula>$F53="Terminado"</formula>
    </cfRule>
    <cfRule type="expression" dxfId="58" priority="20" stopIfTrue="1">
      <formula>$F53="En Progreso"</formula>
    </cfRule>
  </conditionalFormatting>
  <conditionalFormatting sqref="E37:E41">
    <cfRule type="expression" dxfId="57" priority="15" stopIfTrue="1">
      <formula>$F37="Terminado"</formula>
    </cfRule>
    <cfRule type="expression" dxfId="56" priority="16" stopIfTrue="1">
      <formula>$F37="En Progreso"</formula>
    </cfRule>
  </conditionalFormatting>
  <conditionalFormatting sqref="E42:E46">
    <cfRule type="expression" dxfId="55" priority="13" stopIfTrue="1">
      <formula>$F42="Terminado"</formula>
    </cfRule>
    <cfRule type="expression" dxfId="54" priority="14" stopIfTrue="1">
      <formula>$F42="En Progreso"</formula>
    </cfRule>
  </conditionalFormatting>
  <conditionalFormatting sqref="E52:E56">
    <cfRule type="expression" dxfId="53" priority="9" stopIfTrue="1">
      <formula>$F52="Done"</formula>
    </cfRule>
    <cfRule type="expression" dxfId="52" priority="10" stopIfTrue="1">
      <formula>$F52="Ongoing"</formula>
    </cfRule>
  </conditionalFormatting>
  <conditionalFormatting sqref="E52:E56">
    <cfRule type="expression" dxfId="51" priority="11" stopIfTrue="1">
      <formula>$F52="Terminado"</formula>
    </cfRule>
    <cfRule type="expression" dxfId="50" priority="12" stopIfTrue="1">
      <formula>$F52="En Progreso"</formula>
    </cfRule>
  </conditionalFormatting>
  <conditionalFormatting sqref="C23:C56">
    <cfRule type="expression" dxfId="49" priority="7" stopIfTrue="1">
      <formula>$F23="Terminado"</formula>
    </cfRule>
    <cfRule type="expression" dxfId="48" priority="8" stopIfTrue="1">
      <formula>$F23="En Progreso"</formula>
    </cfRule>
  </conditionalFormatting>
  <conditionalFormatting sqref="D27:D30">
    <cfRule type="expression" dxfId="47" priority="5" stopIfTrue="1">
      <formula>$F27="Terminado"</formula>
    </cfRule>
    <cfRule type="expression" dxfId="46" priority="6" stopIfTrue="1">
      <formula>$F27="En Progreso"</formula>
    </cfRule>
  </conditionalFormatting>
  <conditionalFormatting sqref="D47:D51">
    <cfRule type="expression" dxfId="3" priority="1" stopIfTrue="1">
      <formula>$F47="Done"</formula>
    </cfRule>
    <cfRule type="expression" dxfId="2" priority="2" stopIfTrue="1">
      <formula>$F47="Ongoing"</formula>
    </cfRule>
  </conditionalFormatting>
  <conditionalFormatting sqref="D47:D51">
    <cfRule type="expression" dxfId="1" priority="3" stopIfTrue="1">
      <formula>$F47="Terminado"</formula>
    </cfRule>
    <cfRule type="expression" dxfId="0" priority="4" stopIfTrue="1">
      <formula>$F47="En Progreso"</formula>
    </cfRule>
  </conditionalFormatting>
  <dataValidations count="1">
    <dataValidation type="list" allowBlank="1" showInputMessage="1" sqref="F10:F15 F22:F71" xr:uid="{00000000-0002-0000-0000-000000000000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B1:AF71"/>
  <sheetViews>
    <sheetView topLeftCell="A11" workbookViewId="0">
      <selection activeCell="I4" sqref="I4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0" t="s">
        <v>25</v>
      </c>
      <c r="E3" s="40"/>
      <c r="F3" s="40"/>
      <c r="G3" s="40"/>
      <c r="H3" s="40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1" t="s">
        <v>26</v>
      </c>
      <c r="E4" s="41"/>
      <c r="F4" s="41"/>
      <c r="G4" s="41"/>
      <c r="H4" s="41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1" t="s">
        <v>26</v>
      </c>
      <c r="E5" s="41"/>
      <c r="F5" s="41"/>
      <c r="G5" s="41"/>
      <c r="H5" s="41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7.399999999999999" x14ac:dyDescent="0.3">
      <c r="C8" s="9">
        <v>2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5">
      <c r="B16" s="5"/>
      <c r="C16" s="5" t="s">
        <v>11</v>
      </c>
      <c r="D16" s="10">
        <v>15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25</v>
      </c>
      <c r="H17" s="4">
        <f ca="1">IF(AND(SUM(OFFSET(H21,1,0,TaskRows,1))=0),0,SUM(OFFSET(H21,1,0,TaskRows,1)))</f>
        <v>25</v>
      </c>
      <c r="I17" s="4">
        <f t="shared" ref="I17:AF17" ca="1" si="0">IF(AND(SUM(OFFSET(I21,1,0,TaskRows,1))=0),"",SUM(OFFSET(I21,1,0,TaskRows,1)))</f>
        <v>24</v>
      </c>
      <c r="J17" s="4">
        <f t="shared" ca="1" si="0"/>
        <v>23</v>
      </c>
      <c r="K17" s="4">
        <f t="shared" ca="1" si="0"/>
        <v>22</v>
      </c>
      <c r="L17" s="4">
        <f t="shared" ca="1" si="0"/>
        <v>20</v>
      </c>
      <c r="M17" s="4">
        <f t="shared" ca="1" si="0"/>
        <v>16</v>
      </c>
      <c r="N17" s="4">
        <f t="shared" ca="1" si="0"/>
        <v>12</v>
      </c>
      <c r="O17" s="4">
        <f t="shared" ca="1" si="0"/>
        <v>11</v>
      </c>
      <c r="P17" s="4">
        <f t="shared" ca="1" si="0"/>
        <v>4</v>
      </c>
      <c r="Q17" s="4">
        <f t="shared" ca="1" si="0"/>
        <v>1</v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IF(COUNTA(C26:C249)=0,1,COUNTA(C26:C249))</f>
        <v>16</v>
      </c>
      <c r="E18" t="s">
        <v>2</v>
      </c>
      <c r="F18" s="1">
        <f ca="1">IF(COUNTIF(H17:AF17,"&gt;0")=0,1,COUNTIF(H17:AF17,"&gt;0"))</f>
        <v>10</v>
      </c>
      <c r="H18" s="1">
        <f ca="1">IF(H21="","",$G17-$G17/($D16-1)*(H21-1))</f>
        <v>25</v>
      </c>
      <c r="I18" s="1">
        <f t="shared" ref="I18:AF18" ca="1" si="1">IF(I21="","",TotalEffort-TotalEffort/(ImplementationDays)*(I21-1))</f>
        <v>23.333333333333332</v>
      </c>
      <c r="J18" s="1">
        <f t="shared" ca="1" si="1"/>
        <v>21.666666666666668</v>
      </c>
      <c r="K18" s="1">
        <f t="shared" ca="1" si="1"/>
        <v>20</v>
      </c>
      <c r="L18" s="1">
        <f t="shared" ca="1" si="1"/>
        <v>18.333333333333332</v>
      </c>
      <c r="M18" s="1">
        <f t="shared" ca="1" si="1"/>
        <v>16.666666666666664</v>
      </c>
      <c r="N18" s="1">
        <f t="shared" ca="1" si="1"/>
        <v>15</v>
      </c>
      <c r="O18" s="1">
        <f t="shared" ca="1" si="1"/>
        <v>13.333333333333332</v>
      </c>
      <c r="P18" s="1">
        <f t="shared" ca="1" si="1"/>
        <v>11.666666666666666</v>
      </c>
      <c r="Q18" s="1">
        <f t="shared" ca="1" si="1"/>
        <v>10</v>
      </c>
      <c r="R18" s="1">
        <f t="shared" ca="1" si="1"/>
        <v>8.3333333333333321</v>
      </c>
      <c r="S18" s="1">
        <f t="shared" ca="1" si="1"/>
        <v>6.6666666666666643</v>
      </c>
      <c r="T18" s="1">
        <f t="shared" ca="1" si="1"/>
        <v>5</v>
      </c>
      <c r="U18" s="1">
        <f t="shared" ca="1" si="1"/>
        <v>3.3333333333333321</v>
      </c>
      <c r="V18" s="1">
        <f t="shared" ca="1" si="1"/>
        <v>1.6666666666666643</v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28.072727272727278</v>
      </c>
      <c r="I19" s="1">
        <f t="shared" ca="1" si="2"/>
        <v>25.345454545454547</v>
      </c>
      <c r="J19" s="1">
        <f t="shared" ca="1" si="2"/>
        <v>22.618181818181821</v>
      </c>
      <c r="K19" s="1">
        <f t="shared" ca="1" si="2"/>
        <v>19.890909090909091</v>
      </c>
      <c r="L19" s="1">
        <f t="shared" ca="1" si="2"/>
        <v>17.163636363636364</v>
      </c>
      <c r="M19" s="1">
        <f t="shared" ca="1" si="2"/>
        <v>14.436363636363637</v>
      </c>
      <c r="N19" s="1">
        <f t="shared" ca="1" si="2"/>
        <v>11.709090909090907</v>
      </c>
      <c r="O19" s="1">
        <f t="shared" ca="1" si="2"/>
        <v>8.9818181818181806</v>
      </c>
      <c r="P19" s="1">
        <f t="shared" ca="1" si="2"/>
        <v>6.254545454545454</v>
      </c>
      <c r="Q19" s="1">
        <f t="shared" ca="1" si="2"/>
        <v>3.5272727272727238</v>
      </c>
      <c r="R19" s="1">
        <f t="shared" ca="1" si="2"/>
        <v>0.79999999999999716</v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10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>
        <f t="shared" si="3"/>
        <v>11</v>
      </c>
      <c r="S21" s="6">
        <f t="shared" si="3"/>
        <v>12</v>
      </c>
      <c r="T21" s="6">
        <f t="shared" si="3"/>
        <v>13</v>
      </c>
      <c r="U21" s="6">
        <f t="shared" si="3"/>
        <v>14</v>
      </c>
      <c r="V21" s="6">
        <f t="shared" si="3"/>
        <v>15</v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B22">
        <v>4.0999999999999996</v>
      </c>
      <c r="C22" t="s">
        <v>80</v>
      </c>
      <c r="D22" s="38" t="s">
        <v>36</v>
      </c>
      <c r="E22" s="37" t="s">
        <v>28</v>
      </c>
      <c r="F22" t="s">
        <v>119</v>
      </c>
      <c r="G22" s="1">
        <v>2</v>
      </c>
      <c r="H22" s="1">
        <f t="shared" ref="H22:H66" si="4">IF(OR(H$21="",$G22=""),"",G22)</f>
        <v>2</v>
      </c>
      <c r="I22" s="1">
        <v>2</v>
      </c>
      <c r="J22" s="1">
        <v>2</v>
      </c>
      <c r="K22" s="1">
        <v>2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5">
      <c r="B23">
        <v>4.2</v>
      </c>
      <c r="C23" t="s">
        <v>81</v>
      </c>
      <c r="D23" s="38" t="s">
        <v>36</v>
      </c>
      <c r="E23" s="37" t="s">
        <v>28</v>
      </c>
      <c r="F23" t="s">
        <v>119</v>
      </c>
      <c r="G23" s="1">
        <v>2</v>
      </c>
      <c r="H23" s="1">
        <f t="shared" si="4"/>
        <v>2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AE23" s="1" t="str">
        <f t="shared" si="5"/>
        <v/>
      </c>
      <c r="AF23" s="1" t="str">
        <f t="shared" si="5"/>
        <v/>
      </c>
    </row>
    <row r="24" spans="2:32" x14ac:dyDescent="0.25">
      <c r="B24">
        <v>4.3</v>
      </c>
      <c r="C24" t="s">
        <v>82</v>
      </c>
      <c r="D24" s="38" t="s">
        <v>36</v>
      </c>
      <c r="E24" s="37" t="s">
        <v>28</v>
      </c>
      <c r="F24" t="s">
        <v>119</v>
      </c>
      <c r="G24" s="1">
        <v>2</v>
      </c>
      <c r="H24" s="1">
        <f t="shared" si="4"/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AE24" s="1" t="str">
        <f t="shared" si="5"/>
        <v/>
      </c>
      <c r="AF24" s="1" t="str">
        <f t="shared" si="5"/>
        <v/>
      </c>
    </row>
    <row r="25" spans="2:32" x14ac:dyDescent="0.25">
      <c r="B25">
        <v>4.4000000000000004</v>
      </c>
      <c r="C25" t="s">
        <v>83</v>
      </c>
      <c r="D25" s="38" t="s">
        <v>36</v>
      </c>
      <c r="E25" s="37" t="s">
        <v>28</v>
      </c>
      <c r="F25" t="s">
        <v>119</v>
      </c>
      <c r="G25" s="1">
        <v>1</v>
      </c>
      <c r="H25" s="1">
        <f t="shared" si="4"/>
        <v>1</v>
      </c>
      <c r="I25" s="1">
        <v>1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AE25" s="1" t="str">
        <f t="shared" si="5"/>
        <v/>
      </c>
      <c r="AF25" s="1" t="str">
        <f t="shared" si="5"/>
        <v/>
      </c>
    </row>
    <row r="26" spans="2:32" x14ac:dyDescent="0.25">
      <c r="B26">
        <v>4.5</v>
      </c>
      <c r="C26" t="s">
        <v>84</v>
      </c>
      <c r="D26" s="38" t="s">
        <v>36</v>
      </c>
      <c r="E26" s="37" t="s">
        <v>28</v>
      </c>
      <c r="F26" t="s">
        <v>119</v>
      </c>
      <c r="G26" s="1">
        <v>1</v>
      </c>
      <c r="H26" s="1">
        <f t="shared" si="4"/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AE26" s="1" t="str">
        <f t="shared" si="5"/>
        <v/>
      </c>
      <c r="AF26" s="1" t="str">
        <f t="shared" si="5"/>
        <v/>
      </c>
    </row>
    <row r="27" spans="2:32" x14ac:dyDescent="0.25">
      <c r="B27">
        <v>6.1</v>
      </c>
      <c r="C27" t="s">
        <v>85</v>
      </c>
      <c r="D27" s="38" t="s">
        <v>38</v>
      </c>
      <c r="E27" s="37" t="s">
        <v>27</v>
      </c>
      <c r="F27" t="s">
        <v>21</v>
      </c>
      <c r="G27" s="1">
        <v>2</v>
      </c>
      <c r="H27" s="1">
        <f t="shared" si="4"/>
        <v>2</v>
      </c>
      <c r="I27" s="1">
        <v>2</v>
      </c>
      <c r="J27" s="1">
        <v>2</v>
      </c>
      <c r="K27" s="1">
        <v>2</v>
      </c>
      <c r="L27" s="1">
        <v>2</v>
      </c>
      <c r="M27" s="1">
        <v>1</v>
      </c>
      <c r="N27" s="1">
        <v>1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AE27" s="1" t="str">
        <f t="shared" si="5"/>
        <v/>
      </c>
      <c r="AF27" s="1" t="str">
        <f t="shared" si="5"/>
        <v/>
      </c>
    </row>
    <row r="28" spans="2:32" x14ac:dyDescent="0.25">
      <c r="B28">
        <v>6.2</v>
      </c>
      <c r="C28" t="s">
        <v>86</v>
      </c>
      <c r="D28" s="38" t="s">
        <v>38</v>
      </c>
      <c r="E28" s="37" t="s">
        <v>27</v>
      </c>
      <c r="F28" t="s">
        <v>21</v>
      </c>
      <c r="G28" s="1">
        <v>1</v>
      </c>
      <c r="H28" s="1">
        <f t="shared" si="4"/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AE28" s="1" t="str">
        <f t="shared" si="5"/>
        <v/>
      </c>
      <c r="AF28" s="1" t="str">
        <f t="shared" si="5"/>
        <v/>
      </c>
    </row>
    <row r="29" spans="2:32" x14ac:dyDescent="0.25">
      <c r="B29">
        <v>6.3</v>
      </c>
      <c r="C29" t="s">
        <v>87</v>
      </c>
      <c r="D29" s="38" t="s">
        <v>38</v>
      </c>
      <c r="E29" s="37" t="s">
        <v>27</v>
      </c>
      <c r="F29" t="s">
        <v>21</v>
      </c>
      <c r="G29" s="1">
        <v>2</v>
      </c>
      <c r="H29" s="1">
        <f t="shared" si="4"/>
        <v>2</v>
      </c>
      <c r="I29" s="1">
        <v>2</v>
      </c>
      <c r="J29" s="1">
        <v>2</v>
      </c>
      <c r="K29" s="1">
        <v>2</v>
      </c>
      <c r="L29" s="1">
        <v>1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AE29" s="1" t="str">
        <f t="shared" si="5"/>
        <v/>
      </c>
      <c r="AF29" s="1" t="str">
        <f t="shared" si="5"/>
        <v/>
      </c>
    </row>
    <row r="30" spans="2:32" x14ac:dyDescent="0.25">
      <c r="B30">
        <v>6.4</v>
      </c>
      <c r="C30" t="s">
        <v>88</v>
      </c>
      <c r="D30" s="38" t="s">
        <v>38</v>
      </c>
      <c r="E30" s="37" t="s">
        <v>27</v>
      </c>
      <c r="F30" t="s">
        <v>21</v>
      </c>
      <c r="G30" s="1">
        <v>1</v>
      </c>
      <c r="H30" s="1">
        <f t="shared" si="4"/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AE30" s="1" t="str">
        <f t="shared" si="5"/>
        <v/>
      </c>
      <c r="AF30" s="1" t="str">
        <f t="shared" si="5"/>
        <v/>
      </c>
    </row>
    <row r="31" spans="2:32" x14ac:dyDescent="0.25">
      <c r="B31">
        <v>6.5</v>
      </c>
      <c r="C31" t="s">
        <v>89</v>
      </c>
      <c r="D31" s="38" t="s">
        <v>38</v>
      </c>
      <c r="E31" s="37" t="s">
        <v>27</v>
      </c>
      <c r="F31" t="s">
        <v>21</v>
      </c>
      <c r="G31" s="1">
        <v>1</v>
      </c>
      <c r="H31" s="1">
        <f t="shared" si="4"/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AE31" s="1" t="str">
        <f t="shared" si="5"/>
        <v/>
      </c>
      <c r="AF31" s="1" t="str">
        <f t="shared" si="5"/>
        <v/>
      </c>
    </row>
    <row r="32" spans="2:32" x14ac:dyDescent="0.25">
      <c r="B32">
        <v>12.1</v>
      </c>
      <c r="C32" t="s">
        <v>90</v>
      </c>
      <c r="D32" s="38" t="s">
        <v>43</v>
      </c>
      <c r="E32" s="37" t="s">
        <v>31</v>
      </c>
      <c r="F32" t="s">
        <v>21</v>
      </c>
      <c r="G32" s="1">
        <v>2</v>
      </c>
      <c r="H32" s="1">
        <f t="shared" si="4"/>
        <v>2</v>
      </c>
      <c r="I32" s="1">
        <v>2</v>
      </c>
      <c r="J32" s="1">
        <v>2</v>
      </c>
      <c r="K32" s="1">
        <v>2</v>
      </c>
      <c r="L32" s="1">
        <v>2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AE32" s="1" t="str">
        <f t="shared" si="5"/>
        <v/>
      </c>
      <c r="AF32" s="1" t="str">
        <f t="shared" si="5"/>
        <v/>
      </c>
    </row>
    <row r="33" spans="2:32" x14ac:dyDescent="0.25">
      <c r="B33">
        <v>12.2</v>
      </c>
      <c r="C33" t="s">
        <v>91</v>
      </c>
      <c r="D33" s="38" t="s">
        <v>43</v>
      </c>
      <c r="E33" s="37" t="s">
        <v>31</v>
      </c>
      <c r="F33" t="s">
        <v>21</v>
      </c>
      <c r="G33" s="1">
        <v>2</v>
      </c>
      <c r="H33" s="1">
        <f t="shared" si="4"/>
        <v>2</v>
      </c>
      <c r="I33" s="1">
        <v>2</v>
      </c>
      <c r="J33" s="1">
        <v>2</v>
      </c>
      <c r="K33" s="1">
        <v>2</v>
      </c>
      <c r="L33" s="1">
        <v>2</v>
      </c>
      <c r="M33" s="1">
        <v>1</v>
      </c>
      <c r="N33" s="1">
        <v>1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AE33" s="1" t="str">
        <f t="shared" si="5"/>
        <v/>
      </c>
      <c r="AF33" s="1" t="str">
        <f t="shared" si="5"/>
        <v/>
      </c>
    </row>
    <row r="34" spans="2:32" x14ac:dyDescent="0.25">
      <c r="B34">
        <v>12.3</v>
      </c>
      <c r="C34" t="s">
        <v>92</v>
      </c>
      <c r="D34" s="38" t="s">
        <v>43</v>
      </c>
      <c r="E34" s="37" t="s">
        <v>31</v>
      </c>
      <c r="F34" t="s">
        <v>21</v>
      </c>
      <c r="G34" s="1">
        <v>2</v>
      </c>
      <c r="H34" s="1">
        <f t="shared" si="4"/>
        <v>2</v>
      </c>
      <c r="I34" s="1">
        <v>2</v>
      </c>
      <c r="J34" s="1">
        <v>2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AE34" s="1" t="str">
        <f t="shared" si="5"/>
        <v/>
      </c>
      <c r="AF34" s="1" t="str">
        <f t="shared" si="5"/>
        <v/>
      </c>
    </row>
    <row r="35" spans="2:32" x14ac:dyDescent="0.25">
      <c r="B35">
        <v>12.4</v>
      </c>
      <c r="C35" t="s">
        <v>93</v>
      </c>
      <c r="D35" s="38" t="s">
        <v>43</v>
      </c>
      <c r="E35" s="37" t="s">
        <v>31</v>
      </c>
      <c r="F35" t="s">
        <v>21</v>
      </c>
      <c r="G35" s="1">
        <v>1</v>
      </c>
      <c r="H35" s="1">
        <f t="shared" si="4"/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AE35" s="1" t="str">
        <f t="shared" si="5"/>
        <v/>
      </c>
      <c r="AF35" s="1" t="str">
        <f t="shared" si="5"/>
        <v/>
      </c>
    </row>
    <row r="36" spans="2:32" x14ac:dyDescent="0.25">
      <c r="B36">
        <v>12.5</v>
      </c>
      <c r="C36" t="s">
        <v>75</v>
      </c>
      <c r="D36" s="38" t="s">
        <v>43</v>
      </c>
      <c r="E36" s="37" t="s">
        <v>31</v>
      </c>
      <c r="F36" t="s">
        <v>21</v>
      </c>
      <c r="G36" s="1">
        <v>1</v>
      </c>
      <c r="H36" s="1">
        <f t="shared" si="4"/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AE36" s="1" t="str">
        <f t="shared" si="5"/>
        <v/>
      </c>
      <c r="AF36" s="1" t="str">
        <f t="shared" si="5"/>
        <v/>
      </c>
    </row>
    <row r="37" spans="2:32" x14ac:dyDescent="0.25">
      <c r="B37">
        <v>16.100000000000001</v>
      </c>
      <c r="C37" t="s">
        <v>94</v>
      </c>
      <c r="D37" s="38" t="s">
        <v>44</v>
      </c>
      <c r="E37" s="37" t="s">
        <v>30</v>
      </c>
      <c r="F37" t="s">
        <v>21</v>
      </c>
      <c r="G37" s="1">
        <v>2</v>
      </c>
      <c r="H37" s="1">
        <f t="shared" si="4"/>
        <v>2</v>
      </c>
      <c r="I37" s="1">
        <v>2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AE37" s="1" t="str">
        <f t="shared" si="5"/>
        <v/>
      </c>
      <c r="AF37" s="1" t="str">
        <f t="shared" si="5"/>
        <v/>
      </c>
    </row>
    <row r="38" spans="2:32" x14ac:dyDescent="0.25">
      <c r="B38">
        <v>16.2</v>
      </c>
      <c r="C38" t="s">
        <v>95</v>
      </c>
      <c r="D38" s="38" t="s">
        <v>44</v>
      </c>
      <c r="E38" s="37" t="s">
        <v>30</v>
      </c>
      <c r="F38" t="s">
        <v>21</v>
      </c>
      <c r="G38" s="1">
        <v>2</v>
      </c>
      <c r="H38" s="1">
        <f t="shared" si="4"/>
        <v>2</v>
      </c>
      <c r="I38" s="1">
        <v>2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AE38" s="1" t="str">
        <f t="shared" ref="AE38:AF53" si="6">IF(OR(AE$21="",$G38=""),"",AD38)</f>
        <v/>
      </c>
      <c r="AF38" s="1" t="str">
        <f t="shared" si="6"/>
        <v/>
      </c>
    </row>
    <row r="39" spans="2:32" x14ac:dyDescent="0.25">
      <c r="B39">
        <v>16.3</v>
      </c>
      <c r="C39" t="s">
        <v>77</v>
      </c>
      <c r="D39" s="38" t="s">
        <v>44</v>
      </c>
      <c r="E39" s="37" t="s">
        <v>30</v>
      </c>
      <c r="F39" t="s">
        <v>21</v>
      </c>
      <c r="G39" s="1">
        <v>2</v>
      </c>
      <c r="H39" s="1">
        <f t="shared" si="4"/>
        <v>2</v>
      </c>
      <c r="I39" s="1">
        <v>2</v>
      </c>
      <c r="J39" s="1">
        <v>2</v>
      </c>
      <c r="K39" s="1">
        <v>2</v>
      </c>
      <c r="L39" s="1">
        <v>1</v>
      </c>
      <c r="M39" s="1">
        <v>1</v>
      </c>
      <c r="N39" s="1">
        <v>1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AE39" s="1" t="str">
        <f t="shared" si="6"/>
        <v/>
      </c>
      <c r="AF39" s="1" t="str">
        <f t="shared" si="6"/>
        <v/>
      </c>
    </row>
    <row r="40" spans="2:32" x14ac:dyDescent="0.25">
      <c r="B40">
        <v>16.399999999999999</v>
      </c>
      <c r="C40" t="s">
        <v>79</v>
      </c>
      <c r="D40" s="38" t="s">
        <v>44</v>
      </c>
      <c r="E40" s="37" t="s">
        <v>30</v>
      </c>
      <c r="F40" t="s">
        <v>21</v>
      </c>
      <c r="G40" s="1">
        <v>1</v>
      </c>
      <c r="H40" s="1">
        <f t="shared" si="4"/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AE40" s="1" t="str">
        <f t="shared" si="6"/>
        <v/>
      </c>
      <c r="AF40" s="1" t="str">
        <f t="shared" si="6"/>
        <v/>
      </c>
    </row>
    <row r="41" spans="2:32" x14ac:dyDescent="0.25">
      <c r="B41">
        <v>16.5</v>
      </c>
      <c r="C41" t="s">
        <v>75</v>
      </c>
      <c r="D41" s="38" t="s">
        <v>44</v>
      </c>
      <c r="E41" s="37" t="s">
        <v>30</v>
      </c>
      <c r="F41" t="s">
        <v>21</v>
      </c>
      <c r="G41" s="1">
        <v>1</v>
      </c>
      <c r="H41" s="1">
        <f t="shared" si="4"/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AE41" s="1" t="str">
        <f t="shared" si="6"/>
        <v/>
      </c>
      <c r="AF41" s="1" t="str">
        <f t="shared" si="6"/>
        <v/>
      </c>
    </row>
    <row r="42" spans="2:32" x14ac:dyDescent="0.25">
      <c r="F42" t="str">
        <f t="shared" ref="F42:F63" si="7">IF(C42&lt;&gt;"","Planned","")</f>
        <v/>
      </c>
      <c r="H42" s="1" t="str">
        <f t="shared" si="4"/>
        <v/>
      </c>
      <c r="AE42" s="1" t="str">
        <f t="shared" si="6"/>
        <v/>
      </c>
      <c r="AF42" s="1" t="str">
        <f t="shared" si="6"/>
        <v/>
      </c>
    </row>
    <row r="43" spans="2:32" x14ac:dyDescent="0.25">
      <c r="C43" s="2"/>
      <c r="D43" s="2"/>
      <c r="F43" t="str">
        <f t="shared" si="7"/>
        <v/>
      </c>
      <c r="H43" s="1" t="str">
        <f t="shared" si="4"/>
        <v/>
      </c>
      <c r="AE43" s="1" t="str">
        <f t="shared" si="6"/>
        <v/>
      </c>
      <c r="AF43" s="1" t="str">
        <f t="shared" si="6"/>
        <v/>
      </c>
    </row>
    <row r="44" spans="2:32" x14ac:dyDescent="0.25">
      <c r="C44" s="2"/>
      <c r="D44" s="2"/>
      <c r="F44" t="str">
        <f t="shared" si="7"/>
        <v/>
      </c>
      <c r="H44" s="1" t="str">
        <f t="shared" si="4"/>
        <v/>
      </c>
      <c r="AE44" s="1" t="str">
        <f t="shared" si="6"/>
        <v/>
      </c>
      <c r="AF44" s="1" t="str">
        <f t="shared" si="6"/>
        <v/>
      </c>
    </row>
    <row r="45" spans="2:32" x14ac:dyDescent="0.25">
      <c r="C45" s="2"/>
      <c r="D45" s="2"/>
      <c r="H45" s="1" t="str">
        <f t="shared" si="4"/>
        <v/>
      </c>
      <c r="AE45" s="1" t="str">
        <f t="shared" si="6"/>
        <v/>
      </c>
      <c r="AF45" s="1" t="str">
        <f t="shared" si="6"/>
        <v/>
      </c>
    </row>
    <row r="46" spans="2:32" x14ac:dyDescent="0.25">
      <c r="C46" s="2"/>
      <c r="D46" s="2"/>
      <c r="H46" s="1" t="str">
        <f t="shared" si="4"/>
        <v/>
      </c>
      <c r="AE46" s="1" t="str">
        <f t="shared" si="6"/>
        <v/>
      </c>
      <c r="AF46" s="1" t="str">
        <f t="shared" si="6"/>
        <v/>
      </c>
    </row>
    <row r="47" spans="2:32" x14ac:dyDescent="0.25">
      <c r="C47" s="2"/>
      <c r="D47" s="2"/>
      <c r="H47" s="1" t="str">
        <f t="shared" si="4"/>
        <v/>
      </c>
      <c r="AE47" s="1" t="str">
        <f t="shared" si="6"/>
        <v/>
      </c>
      <c r="AF47" s="1" t="str">
        <f t="shared" si="6"/>
        <v/>
      </c>
    </row>
    <row r="48" spans="2:32" x14ac:dyDescent="0.25">
      <c r="C48" s="2"/>
      <c r="D48" s="2"/>
      <c r="H48" s="1" t="str">
        <f t="shared" si="4"/>
        <v/>
      </c>
      <c r="AE48" s="1" t="str">
        <f t="shared" si="6"/>
        <v/>
      </c>
      <c r="AF48" s="1" t="str">
        <f t="shared" si="6"/>
        <v/>
      </c>
    </row>
    <row r="49" spans="4:32" x14ac:dyDescent="0.25">
      <c r="D49" s="10"/>
      <c r="F49" t="str">
        <f t="shared" si="7"/>
        <v/>
      </c>
      <c r="H49" s="1" t="str">
        <f t="shared" si="4"/>
        <v/>
      </c>
      <c r="AE49" s="1" t="str">
        <f t="shared" si="6"/>
        <v/>
      </c>
      <c r="AF49" s="1" t="str">
        <f t="shared" si="6"/>
        <v/>
      </c>
    </row>
    <row r="50" spans="4:32" x14ac:dyDescent="0.25">
      <c r="F50" t="str">
        <f t="shared" si="7"/>
        <v/>
      </c>
      <c r="H50" s="1" t="str">
        <f t="shared" si="4"/>
        <v/>
      </c>
      <c r="AE50" s="1" t="str">
        <f t="shared" si="6"/>
        <v/>
      </c>
      <c r="AF50" s="1" t="str">
        <f t="shared" si="6"/>
        <v/>
      </c>
    </row>
    <row r="51" spans="4:32" x14ac:dyDescent="0.25">
      <c r="F51" t="str">
        <f t="shared" si="7"/>
        <v/>
      </c>
      <c r="H51" s="1" t="str">
        <f t="shared" si="4"/>
        <v/>
      </c>
      <c r="AE51" s="1" t="str">
        <f t="shared" si="6"/>
        <v/>
      </c>
      <c r="AF51" s="1" t="str">
        <f t="shared" si="6"/>
        <v/>
      </c>
    </row>
    <row r="52" spans="4:32" x14ac:dyDescent="0.25">
      <c r="F52" t="str">
        <f t="shared" si="7"/>
        <v/>
      </c>
      <c r="H52" s="1" t="str">
        <f t="shared" si="4"/>
        <v/>
      </c>
      <c r="AE52" s="1" t="str">
        <f t="shared" si="6"/>
        <v/>
      </c>
      <c r="AF52" s="1" t="str">
        <f t="shared" si="6"/>
        <v/>
      </c>
    </row>
    <row r="53" spans="4:32" x14ac:dyDescent="0.25">
      <c r="F53" t="str">
        <f t="shared" si="7"/>
        <v/>
      </c>
      <c r="H53" s="1" t="str">
        <f t="shared" si="4"/>
        <v/>
      </c>
      <c r="AE53" s="1" t="str">
        <f t="shared" si="6"/>
        <v/>
      </c>
      <c r="AF53" s="1" t="str">
        <f t="shared" si="6"/>
        <v/>
      </c>
    </row>
    <row r="54" spans="4:32" x14ac:dyDescent="0.25">
      <c r="F54" t="str">
        <f t="shared" si="7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4:32" x14ac:dyDescent="0.25">
      <c r="F55" t="str">
        <f t="shared" si="7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4:32" x14ac:dyDescent="0.25">
      <c r="F56" t="str">
        <f t="shared" si="7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4:32" x14ac:dyDescent="0.25">
      <c r="F57" t="str">
        <f t="shared" si="7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4:32" x14ac:dyDescent="0.25">
      <c r="F58" t="str">
        <f t="shared" si="7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4:32" x14ac:dyDescent="0.25">
      <c r="F59" t="str">
        <f t="shared" si="7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4:32" x14ac:dyDescent="0.25">
      <c r="F60" t="str">
        <f t="shared" si="7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4:32" x14ac:dyDescent="0.25">
      <c r="F61" t="str">
        <f t="shared" si="7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4:32" x14ac:dyDescent="0.25">
      <c r="F62" t="str">
        <f t="shared" si="7"/>
        <v/>
      </c>
      <c r="H62" s="1" t="str">
        <f t="shared" si="4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4:32" x14ac:dyDescent="0.25">
      <c r="F63" t="str">
        <f t="shared" si="7"/>
        <v/>
      </c>
      <c r="H63" s="1" t="str">
        <f t="shared" si="4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4:32" x14ac:dyDescent="0.25"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2:32" x14ac:dyDescent="0.25"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2:32" x14ac:dyDescent="0.25">
      <c r="H66" s="1" t="str">
        <f t="shared" si="4"/>
        <v/>
      </c>
    </row>
    <row r="71" spans="2:32" s="1" customFormat="1" x14ac:dyDescent="0.25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phoneticPr fontId="7" type="noConversion"/>
  <conditionalFormatting sqref="C26 E26 C27:E41 G26:P41 C42:U42 C62:AF65 C43 E43:U48 L23:P24 Q23:U41 L22:AF22 C49:U61 V23:AF61">
    <cfRule type="expression" dxfId="45" priority="21" stopIfTrue="1">
      <formula>$F22="Done"</formula>
    </cfRule>
    <cfRule type="expression" dxfId="44" priority="22" stopIfTrue="1">
      <formula>$F22="Ongoing"</formula>
    </cfRule>
  </conditionalFormatting>
  <conditionalFormatting sqref="B22:B25 B26:C26 B42:U42 B27:P41 E23:P26 B62:AF65 B44:B48 B43:C43 E43:U48 Q23:U41 E22:AF22 B49:U61 V23:AF61">
    <cfRule type="expression" dxfId="43" priority="23" stopIfTrue="1">
      <formula>$F22="Terminado"</formula>
    </cfRule>
    <cfRule type="expression" dxfId="42" priority="24" stopIfTrue="1">
      <formula>$F22="En Progreso"</formula>
    </cfRule>
  </conditionalFormatting>
  <conditionalFormatting sqref="D27:D31">
    <cfRule type="expression" dxfId="41" priority="15" stopIfTrue="1">
      <formula>$F4="Terminado"</formula>
    </cfRule>
    <cfRule type="expression" dxfId="40" priority="16" stopIfTrue="1">
      <formula>$F4="En Progreso"</formula>
    </cfRule>
  </conditionalFormatting>
  <conditionalFormatting sqref="D32:D36">
    <cfRule type="expression" dxfId="39" priority="13" stopIfTrue="1">
      <formula>$F9="Terminado"</formula>
    </cfRule>
    <cfRule type="expression" dxfId="38" priority="14" stopIfTrue="1">
      <formula>$F9="En Progreso"</formula>
    </cfRule>
  </conditionalFormatting>
  <conditionalFormatting sqref="D37:D41">
    <cfRule type="expression" dxfId="37" priority="11" stopIfTrue="1">
      <formula>$F14="Terminado"</formula>
    </cfRule>
    <cfRule type="expression" dxfId="36" priority="12" stopIfTrue="1">
      <formula>$F14="En Progreso"</formula>
    </cfRule>
  </conditionalFormatting>
  <conditionalFormatting sqref="C22:C25">
    <cfRule type="expression" dxfId="35" priority="5" stopIfTrue="1">
      <formula>$F22="Done"</formula>
    </cfRule>
    <cfRule type="expression" dxfId="34" priority="6" stopIfTrue="1">
      <formula>$F22="Ongoing"</formula>
    </cfRule>
  </conditionalFormatting>
  <conditionalFormatting sqref="C22:C25">
    <cfRule type="expression" dxfId="33" priority="7" stopIfTrue="1">
      <formula>$F22="Terminado"</formula>
    </cfRule>
    <cfRule type="expression" dxfId="32" priority="8" stopIfTrue="1">
      <formula>$F22="En Progreso"</formula>
    </cfRule>
  </conditionalFormatting>
  <conditionalFormatting sqref="D22:D26">
    <cfRule type="expression" dxfId="31" priority="1" stopIfTrue="1">
      <formula>$F22="Terminado"</formula>
    </cfRule>
    <cfRule type="expression" dxfId="30" priority="2" stopIfTrue="1">
      <formula>$F22="En Progreso"</formula>
    </cfRule>
  </conditionalFormatting>
  <dataValidations count="1">
    <dataValidation type="list" allowBlank="1" showInputMessage="1" sqref="F10:F15 F22:F71" xr:uid="{00000000-0002-0000-0100-000000000000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E2E3-59E5-41E1-B97C-7FDB1BA07569}">
  <dimension ref="B1:AF71"/>
  <sheetViews>
    <sheetView workbookViewId="0">
      <selection activeCell="D4" sqref="D4:H4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0" t="s">
        <v>25</v>
      </c>
      <c r="E3" s="40"/>
      <c r="F3" s="40"/>
      <c r="G3" s="40"/>
      <c r="H3" s="40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1" t="s">
        <v>26</v>
      </c>
      <c r="E4" s="41"/>
      <c r="F4" s="41"/>
      <c r="G4" s="41"/>
      <c r="H4" s="41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1" t="s">
        <v>26</v>
      </c>
      <c r="E5" s="41"/>
      <c r="F5" s="41"/>
      <c r="G5" s="41"/>
      <c r="H5" s="41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7.399999999999999" x14ac:dyDescent="0.3">
      <c r="C8" s="9">
        <v>3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5">
      <c r="B16" s="5"/>
      <c r="C16" s="5" t="s">
        <v>11</v>
      </c>
      <c r="D16" s="10">
        <v>15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18</v>
      </c>
      <c r="H17" s="4">
        <f ca="1">IF(AND(SUM(OFFSET(H21,1,0,TaskRows,1))=0),0,SUM(OFFSET(H21,1,0,TaskRows,1)))</f>
        <v>17</v>
      </c>
      <c r="I17" s="4">
        <f t="shared" ref="I17:AF17" ca="1" si="0">IF(AND(SUM(OFFSET(I21,1,0,TaskRows,1))=0),"",SUM(OFFSET(I21,1,0,TaskRows,1)))</f>
        <v>16</v>
      </c>
      <c r="J17" s="4">
        <f t="shared" ca="1" si="0"/>
        <v>16</v>
      </c>
      <c r="K17" s="4">
        <f t="shared" ca="1" si="0"/>
        <v>15</v>
      </c>
      <c r="L17" s="4">
        <f t="shared" ca="1" si="0"/>
        <v>15</v>
      </c>
      <c r="M17" s="4">
        <f t="shared" ca="1" si="0"/>
        <v>12</v>
      </c>
      <c r="N17" s="4">
        <f t="shared" ca="1" si="0"/>
        <v>10</v>
      </c>
      <c r="O17" s="4">
        <f t="shared" ca="1" si="0"/>
        <v>9</v>
      </c>
      <c r="P17" s="4">
        <f t="shared" ca="1" si="0"/>
        <v>6</v>
      </c>
      <c r="Q17" s="4">
        <f t="shared" ca="1" si="0"/>
        <v>6</v>
      </c>
      <c r="R17" s="4">
        <f t="shared" ca="1" si="0"/>
        <v>5</v>
      </c>
      <c r="S17" s="4">
        <f t="shared" ca="1" si="0"/>
        <v>3</v>
      </c>
      <c r="T17" s="4">
        <f t="shared" ca="1" si="0"/>
        <v>2</v>
      </c>
      <c r="U17" s="4">
        <f t="shared" ca="1" si="0"/>
        <v>2</v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IF(COUNTA(C22:C249)=0,1,COUNTA(C22:C249))</f>
        <v>10</v>
      </c>
      <c r="E18" t="s">
        <v>2</v>
      </c>
      <c r="F18" s="1">
        <f ca="1">IF(COUNTIF(H17:AF17,"&gt;0")=0,1,COUNTIF(H17:AF17,"&gt;0"))</f>
        <v>14</v>
      </c>
      <c r="H18" s="1">
        <f ca="1">IF(H21="","",$G17-$G17/($D16-1)*(H21-1))</f>
        <v>18</v>
      </c>
      <c r="I18" s="1">
        <f t="shared" ref="I18:AF18" ca="1" si="1">IF(I21="","",TotalEffort-TotalEffort/(ImplementationDays)*(I21-1))</f>
        <v>16.8</v>
      </c>
      <c r="J18" s="1">
        <f t="shared" ca="1" si="1"/>
        <v>15.6</v>
      </c>
      <c r="K18" s="1">
        <f t="shared" ca="1" si="1"/>
        <v>14.4</v>
      </c>
      <c r="L18" s="1">
        <f t="shared" ca="1" si="1"/>
        <v>13.2</v>
      </c>
      <c r="M18" s="1">
        <f t="shared" ca="1" si="1"/>
        <v>12</v>
      </c>
      <c r="N18" s="1">
        <f t="shared" ca="1" si="1"/>
        <v>10.8</v>
      </c>
      <c r="O18" s="1">
        <f t="shared" ca="1" si="1"/>
        <v>9.6</v>
      </c>
      <c r="P18" s="1">
        <f t="shared" ca="1" si="1"/>
        <v>8.4</v>
      </c>
      <c r="Q18" s="1">
        <f t="shared" ca="1" si="1"/>
        <v>7.2000000000000011</v>
      </c>
      <c r="R18" s="1">
        <f t="shared" ca="1" si="1"/>
        <v>6</v>
      </c>
      <c r="S18" s="1">
        <f t="shared" ca="1" si="1"/>
        <v>4.8000000000000007</v>
      </c>
      <c r="T18" s="1">
        <f t="shared" ca="1" si="1"/>
        <v>3.6000000000000014</v>
      </c>
      <c r="U18" s="1">
        <f t="shared" ca="1" si="1"/>
        <v>2.4000000000000004</v>
      </c>
      <c r="V18" s="1">
        <f t="shared" ca="1" si="1"/>
        <v>1.1999999999999993</v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19.054545454545458</v>
      </c>
      <c r="I19" s="1">
        <f t="shared" ca="1" si="2"/>
        <v>17.63636363636364</v>
      </c>
      <c r="J19" s="1">
        <f t="shared" ca="1" si="2"/>
        <v>16.218181818181819</v>
      </c>
      <c r="K19" s="1">
        <f t="shared" ca="1" si="2"/>
        <v>14.800000000000002</v>
      </c>
      <c r="L19" s="1">
        <f t="shared" ca="1" si="2"/>
        <v>13.381818181818184</v>
      </c>
      <c r="M19" s="1">
        <f t="shared" ca="1" si="2"/>
        <v>11.963636363636365</v>
      </c>
      <c r="N19" s="1">
        <f t="shared" ca="1" si="2"/>
        <v>10.545454545454547</v>
      </c>
      <c r="O19" s="1">
        <f t="shared" ca="1" si="2"/>
        <v>9.1272727272727288</v>
      </c>
      <c r="P19" s="1">
        <f t="shared" ca="1" si="2"/>
        <v>7.7090909090909108</v>
      </c>
      <c r="Q19" s="1">
        <f t="shared" ca="1" si="2"/>
        <v>6.2909090909090928</v>
      </c>
      <c r="R19" s="1">
        <f t="shared" ca="1" si="2"/>
        <v>4.872727272727273</v>
      </c>
      <c r="S19" s="1">
        <f t="shared" ca="1" si="2"/>
        <v>3.4545454545454533</v>
      </c>
      <c r="T19" s="1">
        <f t="shared" ca="1" si="2"/>
        <v>2.0363636363636353</v>
      </c>
      <c r="U19" s="1">
        <f t="shared" ca="1" si="2"/>
        <v>0.61818181818181728</v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10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>
        <f t="shared" si="3"/>
        <v>11</v>
      </c>
      <c r="S21" s="6">
        <f t="shared" si="3"/>
        <v>12</v>
      </c>
      <c r="T21" s="6">
        <f t="shared" si="3"/>
        <v>13</v>
      </c>
      <c r="U21" s="6">
        <f t="shared" si="3"/>
        <v>14</v>
      </c>
      <c r="V21" s="6">
        <f t="shared" si="3"/>
        <v>15</v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B22">
        <v>8.1</v>
      </c>
      <c r="C22" s="37" t="s">
        <v>96</v>
      </c>
      <c r="D22" s="38" t="s">
        <v>45</v>
      </c>
      <c r="E22" s="37" t="s">
        <v>28</v>
      </c>
      <c r="F22" t="s">
        <v>21</v>
      </c>
      <c r="G22" s="1">
        <v>2</v>
      </c>
      <c r="H22" s="1">
        <f t="shared" ref="H22:W66" si="4">IF(OR(H$21="",$G22=""),"",G22)</f>
        <v>2</v>
      </c>
      <c r="I22" s="1">
        <v>2</v>
      </c>
      <c r="J22" s="1">
        <v>2</v>
      </c>
      <c r="K22" s="1">
        <v>2</v>
      </c>
      <c r="L22" s="1">
        <v>2</v>
      </c>
      <c r="M22" s="1">
        <v>1</v>
      </c>
      <c r="N22" s="1">
        <v>1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5">
      <c r="B23">
        <v>8.1999999999999993</v>
      </c>
      <c r="C23" t="s">
        <v>97</v>
      </c>
      <c r="D23" s="38" t="s">
        <v>45</v>
      </c>
      <c r="E23" s="37" t="s">
        <v>28</v>
      </c>
      <c r="F23" t="s">
        <v>21</v>
      </c>
      <c r="G23" s="1">
        <v>2</v>
      </c>
      <c r="H23" s="1">
        <f t="shared" si="4"/>
        <v>2</v>
      </c>
      <c r="I23" s="1">
        <v>2</v>
      </c>
      <c r="J23" s="1">
        <v>2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AE23" s="1" t="str">
        <f t="shared" si="5"/>
        <v/>
      </c>
      <c r="AF23" s="1" t="str">
        <f t="shared" si="5"/>
        <v/>
      </c>
    </row>
    <row r="24" spans="2:32" x14ac:dyDescent="0.25">
      <c r="B24">
        <v>8.3000000000000007</v>
      </c>
      <c r="C24" s="37" t="s">
        <v>98</v>
      </c>
      <c r="D24" s="38" t="s">
        <v>45</v>
      </c>
      <c r="E24" s="37" t="s">
        <v>28</v>
      </c>
      <c r="F24" t="s">
        <v>21</v>
      </c>
      <c r="G24" s="1">
        <v>2</v>
      </c>
      <c r="H24" s="1">
        <f t="shared" si="4"/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AE24" s="1" t="str">
        <f t="shared" si="5"/>
        <v/>
      </c>
      <c r="AF24" s="1" t="str">
        <f t="shared" si="5"/>
        <v/>
      </c>
    </row>
    <row r="25" spans="2:32" x14ac:dyDescent="0.25">
      <c r="B25">
        <v>8.4</v>
      </c>
      <c r="C25" s="37" t="s">
        <v>99</v>
      </c>
      <c r="D25" s="38" t="s">
        <v>45</v>
      </c>
      <c r="E25" s="37" t="s">
        <v>28</v>
      </c>
      <c r="F25" t="s">
        <v>21</v>
      </c>
      <c r="G25" s="1">
        <v>2</v>
      </c>
      <c r="H25" s="1">
        <f t="shared" si="4"/>
        <v>2</v>
      </c>
      <c r="I25" s="1">
        <v>2</v>
      </c>
      <c r="J25" s="1">
        <v>2</v>
      </c>
      <c r="K25" s="1">
        <v>2</v>
      </c>
      <c r="L25" s="1">
        <v>2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0</v>
      </c>
      <c r="AE25" s="1" t="str">
        <f t="shared" si="5"/>
        <v/>
      </c>
      <c r="AF25" s="1" t="str">
        <f t="shared" si="5"/>
        <v/>
      </c>
    </row>
    <row r="26" spans="2:32" x14ac:dyDescent="0.25">
      <c r="B26">
        <v>8.5</v>
      </c>
      <c r="C26" t="s">
        <v>100</v>
      </c>
      <c r="D26" s="38" t="s">
        <v>45</v>
      </c>
      <c r="E26" s="37" t="s">
        <v>28</v>
      </c>
      <c r="F26" t="s">
        <v>21</v>
      </c>
      <c r="G26" s="1">
        <v>1</v>
      </c>
      <c r="H26" s="1">
        <f t="shared" si="4"/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0</v>
      </c>
      <c r="AE26" s="1" t="str">
        <f t="shared" si="5"/>
        <v/>
      </c>
      <c r="AF26" s="1" t="str">
        <f t="shared" si="5"/>
        <v/>
      </c>
    </row>
    <row r="27" spans="2:32" x14ac:dyDescent="0.25">
      <c r="B27">
        <v>13.1</v>
      </c>
      <c r="C27" s="37" t="s">
        <v>101</v>
      </c>
      <c r="D27" s="38" t="s">
        <v>46</v>
      </c>
      <c r="E27" s="37" t="s">
        <v>27</v>
      </c>
      <c r="F27" t="s">
        <v>21</v>
      </c>
      <c r="G27" s="1">
        <v>2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AE27" s="1" t="str">
        <f t="shared" si="5"/>
        <v/>
      </c>
      <c r="AF27" s="1" t="str">
        <f t="shared" si="5"/>
        <v/>
      </c>
    </row>
    <row r="28" spans="2:32" x14ac:dyDescent="0.25">
      <c r="B28">
        <v>13.2</v>
      </c>
      <c r="C28" t="s">
        <v>102</v>
      </c>
      <c r="D28" s="38" t="s">
        <v>46</v>
      </c>
      <c r="E28" s="37" t="s">
        <v>27</v>
      </c>
      <c r="F28" t="s">
        <v>21</v>
      </c>
      <c r="G28" s="1">
        <v>2</v>
      </c>
      <c r="H28" s="1">
        <f t="shared" si="4"/>
        <v>2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AE28" s="1" t="str">
        <f t="shared" si="5"/>
        <v/>
      </c>
      <c r="AF28" s="1" t="str">
        <f t="shared" si="5"/>
        <v/>
      </c>
    </row>
    <row r="29" spans="2:32" x14ac:dyDescent="0.25">
      <c r="B29">
        <v>13.3</v>
      </c>
      <c r="C29" t="s">
        <v>103</v>
      </c>
      <c r="D29" s="38" t="s">
        <v>46</v>
      </c>
      <c r="E29" s="37" t="s">
        <v>27</v>
      </c>
      <c r="F29" t="s">
        <v>21</v>
      </c>
      <c r="G29" s="1">
        <v>2</v>
      </c>
      <c r="H29" s="1">
        <f t="shared" si="4"/>
        <v>2</v>
      </c>
      <c r="I29" s="1">
        <v>2</v>
      </c>
      <c r="J29" s="1">
        <v>2</v>
      </c>
      <c r="K29" s="1">
        <v>2</v>
      </c>
      <c r="L29" s="1">
        <v>2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AE29" s="1" t="str">
        <f t="shared" si="5"/>
        <v/>
      </c>
      <c r="AF29" s="1" t="str">
        <f t="shared" si="5"/>
        <v/>
      </c>
    </row>
    <row r="30" spans="2:32" x14ac:dyDescent="0.25">
      <c r="B30">
        <v>13.4</v>
      </c>
      <c r="C30" t="s">
        <v>104</v>
      </c>
      <c r="D30" s="38" t="s">
        <v>46</v>
      </c>
      <c r="E30" s="37" t="s">
        <v>27</v>
      </c>
      <c r="F30" t="s">
        <v>21</v>
      </c>
      <c r="G30" s="1">
        <v>2</v>
      </c>
      <c r="H30" s="1">
        <f t="shared" si="4"/>
        <v>2</v>
      </c>
      <c r="I30" s="1">
        <v>2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AE30" s="1" t="str">
        <f t="shared" si="5"/>
        <v/>
      </c>
      <c r="AF30" s="1" t="str">
        <f t="shared" si="5"/>
        <v/>
      </c>
    </row>
    <row r="31" spans="2:32" x14ac:dyDescent="0.25">
      <c r="B31">
        <v>13.5</v>
      </c>
      <c r="C31" t="s">
        <v>75</v>
      </c>
      <c r="D31" s="38" t="s">
        <v>46</v>
      </c>
      <c r="E31" s="37" t="s">
        <v>27</v>
      </c>
      <c r="F31" t="s">
        <v>21</v>
      </c>
      <c r="G31" s="1">
        <v>1</v>
      </c>
      <c r="H31" s="1">
        <f t="shared" si="4"/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AE31" s="1" t="str">
        <f t="shared" si="5"/>
        <v/>
      </c>
      <c r="AF31" s="1" t="str">
        <f t="shared" si="5"/>
        <v/>
      </c>
    </row>
    <row r="32" spans="2:32" x14ac:dyDescent="0.25">
      <c r="F32" t="str">
        <f t="shared" ref="F32:F63" si="6">IF(C32&lt;&gt;"","Planned","")</f>
        <v/>
      </c>
      <c r="H32" s="1" t="str">
        <f t="shared" si="4"/>
        <v/>
      </c>
      <c r="AE32" s="1" t="str">
        <f t="shared" si="5"/>
        <v/>
      </c>
      <c r="AF32" s="1" t="str">
        <f t="shared" si="5"/>
        <v/>
      </c>
    </row>
    <row r="33" spans="6:32" x14ac:dyDescent="0.25">
      <c r="F33" t="str">
        <f t="shared" si="6"/>
        <v/>
      </c>
      <c r="H33" s="1" t="str">
        <f t="shared" si="4"/>
        <v/>
      </c>
      <c r="AE33" s="1" t="str">
        <f t="shared" si="5"/>
        <v/>
      </c>
      <c r="AF33" s="1" t="str">
        <f t="shared" si="5"/>
        <v/>
      </c>
    </row>
    <row r="34" spans="6:32" x14ac:dyDescent="0.25">
      <c r="F34" t="str">
        <f t="shared" si="6"/>
        <v/>
      </c>
      <c r="H34" s="1" t="str">
        <f t="shared" si="4"/>
        <v/>
      </c>
      <c r="AE34" s="1" t="str">
        <f t="shared" si="5"/>
        <v/>
      </c>
      <c r="AF34" s="1" t="str">
        <f t="shared" si="5"/>
        <v/>
      </c>
    </row>
    <row r="35" spans="6:32" x14ac:dyDescent="0.25">
      <c r="F35" t="str">
        <f t="shared" si="6"/>
        <v/>
      </c>
      <c r="H35" s="1" t="str">
        <f t="shared" si="4"/>
        <v/>
      </c>
      <c r="AE35" s="1" t="str">
        <f t="shared" si="5"/>
        <v/>
      </c>
      <c r="AF35" s="1" t="str">
        <f t="shared" si="5"/>
        <v/>
      </c>
    </row>
    <row r="36" spans="6:32" x14ac:dyDescent="0.25">
      <c r="F36" t="str">
        <f t="shared" si="6"/>
        <v/>
      </c>
      <c r="H36" s="1" t="str">
        <f t="shared" si="4"/>
        <v/>
      </c>
      <c r="AE36" s="1" t="str">
        <f t="shared" si="5"/>
        <v/>
      </c>
      <c r="AF36" s="1" t="str">
        <f t="shared" si="5"/>
        <v/>
      </c>
    </row>
    <row r="37" spans="6:32" x14ac:dyDescent="0.25">
      <c r="F37" t="str">
        <f t="shared" si="6"/>
        <v/>
      </c>
      <c r="H37" s="1" t="str">
        <f t="shared" si="4"/>
        <v/>
      </c>
      <c r="AE37" s="1" t="str">
        <f t="shared" si="5"/>
        <v/>
      </c>
      <c r="AF37" s="1" t="str">
        <f t="shared" si="5"/>
        <v/>
      </c>
    </row>
    <row r="38" spans="6:32" x14ac:dyDescent="0.25">
      <c r="F38" t="str">
        <f t="shared" si="6"/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5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6:32" x14ac:dyDescent="0.25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6:32" x14ac:dyDescent="0.25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6:32" x14ac:dyDescent="0.25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6:32" x14ac:dyDescent="0.25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6:32" x14ac:dyDescent="0.25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6:32" x14ac:dyDescent="0.25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6:32" x14ac:dyDescent="0.25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6:32" x14ac:dyDescent="0.25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6:32" x14ac:dyDescent="0.25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5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5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5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5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5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5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5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5">
      <c r="F62" t="str">
        <f t="shared" si="6"/>
        <v/>
      </c>
      <c r="H62" s="1" t="str">
        <f t="shared" si="4"/>
        <v/>
      </c>
      <c r="I62" s="1" t="str">
        <f t="shared" si="4"/>
        <v/>
      </c>
      <c r="J62" s="1" t="str">
        <f t="shared" si="4"/>
        <v/>
      </c>
      <c r="K62" s="1" t="str">
        <f t="shared" si="4"/>
        <v/>
      </c>
      <c r="L62" s="1" t="str">
        <f t="shared" si="4"/>
        <v/>
      </c>
      <c r="M62" s="1" t="str">
        <f t="shared" si="4"/>
        <v/>
      </c>
      <c r="N62" s="1" t="str">
        <f t="shared" si="4"/>
        <v/>
      </c>
      <c r="O62" s="1" t="str">
        <f t="shared" si="4"/>
        <v/>
      </c>
      <c r="P62" s="1" t="str">
        <f t="shared" si="4"/>
        <v/>
      </c>
      <c r="Q62" s="1" t="str">
        <f t="shared" si="4"/>
        <v/>
      </c>
      <c r="R62" s="1" t="str">
        <f t="shared" si="4"/>
        <v/>
      </c>
      <c r="S62" s="1" t="str">
        <f t="shared" si="4"/>
        <v/>
      </c>
      <c r="T62" s="1" t="str">
        <f t="shared" si="4"/>
        <v/>
      </c>
      <c r="U62" s="1" t="str">
        <f t="shared" si="4"/>
        <v/>
      </c>
      <c r="V62" s="1" t="str">
        <f t="shared" si="4"/>
        <v/>
      </c>
      <c r="W62" s="1" t="str">
        <f t="shared" si="4"/>
        <v/>
      </c>
      <c r="X62" s="1" t="str">
        <f t="shared" ref="X62:AD63" si="9">IF(OR(X$21="",$G62=""),"",W62)</f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5">
      <c r="F63" t="str">
        <f t="shared" si="6"/>
        <v/>
      </c>
      <c r="H63" s="1" t="str">
        <f t="shared" si="4"/>
        <v/>
      </c>
      <c r="I63" s="1" t="str">
        <f t="shared" si="4"/>
        <v/>
      </c>
      <c r="J63" s="1" t="str">
        <f t="shared" si="4"/>
        <v/>
      </c>
      <c r="K63" s="1" t="str">
        <f t="shared" si="4"/>
        <v/>
      </c>
      <c r="L63" s="1" t="str">
        <f t="shared" si="4"/>
        <v/>
      </c>
      <c r="M63" s="1" t="str">
        <f t="shared" si="4"/>
        <v/>
      </c>
      <c r="N63" s="1" t="str">
        <f t="shared" si="4"/>
        <v/>
      </c>
      <c r="O63" s="1" t="str">
        <f t="shared" si="4"/>
        <v/>
      </c>
      <c r="P63" s="1" t="str">
        <f t="shared" si="4"/>
        <v/>
      </c>
      <c r="Q63" s="1" t="str">
        <f t="shared" si="4"/>
        <v/>
      </c>
      <c r="R63" s="1" t="str">
        <f t="shared" si="4"/>
        <v/>
      </c>
      <c r="S63" s="1" t="str">
        <f t="shared" si="4"/>
        <v/>
      </c>
      <c r="T63" s="1" t="str">
        <f t="shared" si="4"/>
        <v/>
      </c>
      <c r="U63" s="1" t="str">
        <f t="shared" si="4"/>
        <v/>
      </c>
      <c r="V63" s="1" t="str">
        <f t="shared" si="4"/>
        <v/>
      </c>
      <c r="W63" s="1" t="str">
        <f t="shared" si="4"/>
        <v/>
      </c>
      <c r="X63" s="1" t="str">
        <f t="shared" si="9"/>
        <v/>
      </c>
      <c r="Y63" s="1" t="str">
        <f t="shared" si="9"/>
        <v/>
      </c>
      <c r="Z63" s="1" t="str">
        <f t="shared" si="9"/>
        <v/>
      </c>
      <c r="AA63" s="1" t="str">
        <f t="shared" si="9"/>
        <v/>
      </c>
      <c r="AB63" s="1" t="str">
        <f t="shared" si="9"/>
        <v/>
      </c>
      <c r="AC63" s="1" t="str">
        <f t="shared" si="9"/>
        <v/>
      </c>
      <c r="AD63" s="1" t="str">
        <f t="shared" si="9"/>
        <v/>
      </c>
      <c r="AE63" s="1" t="str">
        <f t="shared" si="8"/>
        <v/>
      </c>
      <c r="AF63" s="1" t="str">
        <f t="shared" si="8"/>
        <v/>
      </c>
    </row>
    <row r="64" spans="6:32" x14ac:dyDescent="0.25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2:32" x14ac:dyDescent="0.25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2:32" x14ac:dyDescent="0.25">
      <c r="F66" t="s">
        <v>9</v>
      </c>
      <c r="H66" s="1" t="str">
        <f t="shared" si="4"/>
        <v/>
      </c>
    </row>
    <row r="71" spans="2:32" s="1" customFormat="1" x14ac:dyDescent="0.25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phoneticPr fontId="7" type="noConversion"/>
  <conditionalFormatting sqref="L22:AF25 C32:AF65 E27 C28:E31 G26:AF31">
    <cfRule type="expression" dxfId="29" priority="7" stopIfTrue="1">
      <formula>$F22="Done"</formula>
    </cfRule>
    <cfRule type="expression" dxfId="28" priority="8" stopIfTrue="1">
      <formula>$F22="Ongoing"</formula>
    </cfRule>
  </conditionalFormatting>
  <conditionalFormatting sqref="B22:AF22 B24:C25 B23 B26 B32:AF65 D23:D26 B27:E31 F23:AF31">
    <cfRule type="expression" dxfId="27" priority="9" stopIfTrue="1">
      <formula>$F22="Terminado"</formula>
    </cfRule>
    <cfRule type="expression" dxfId="26" priority="10" stopIfTrue="1">
      <formula>$F22="En Progreso"</formula>
    </cfRule>
  </conditionalFormatting>
  <conditionalFormatting sqref="C27:D27">
    <cfRule type="expression" dxfId="25" priority="119" stopIfTrue="1">
      <formula>$F23="Terminado"</formula>
    </cfRule>
    <cfRule type="expression" dxfId="24" priority="120" stopIfTrue="1">
      <formula>$F23="En Progreso"</formula>
    </cfRule>
  </conditionalFormatting>
  <conditionalFormatting sqref="C27:D27">
    <cfRule type="expression" dxfId="23" priority="123" stopIfTrue="1">
      <formula>$F26="Done"</formula>
    </cfRule>
    <cfRule type="expression" dxfId="22" priority="124" stopIfTrue="1">
      <formula>$F26="Ongoing"</formula>
    </cfRule>
  </conditionalFormatting>
  <conditionalFormatting sqref="D28:D31">
    <cfRule type="expression" dxfId="21" priority="3" stopIfTrue="1">
      <formula>$F24="Terminado"</formula>
    </cfRule>
    <cfRule type="expression" dxfId="20" priority="4" stopIfTrue="1">
      <formula>$F24="En Progreso"</formula>
    </cfRule>
  </conditionalFormatting>
  <conditionalFormatting sqref="D28:D31">
    <cfRule type="expression" dxfId="19" priority="5" stopIfTrue="1">
      <formula>$F27="Done"</formula>
    </cfRule>
    <cfRule type="expression" dxfId="18" priority="6" stopIfTrue="1">
      <formula>$F27="Ongoing"</formula>
    </cfRule>
  </conditionalFormatting>
  <conditionalFormatting sqref="E23:E26">
    <cfRule type="expression" dxfId="17" priority="1" stopIfTrue="1">
      <formula>$F23="Terminado"</formula>
    </cfRule>
    <cfRule type="expression" dxfId="16" priority="2" stopIfTrue="1">
      <formula>$F23="En Progreso"</formula>
    </cfRule>
  </conditionalFormatting>
  <dataValidations count="1">
    <dataValidation type="list" allowBlank="1" showInputMessage="1" sqref="F10:F15 F22:F71" xr:uid="{AD6AB23A-F197-4BA1-9CAF-AF8AC9CA2ED7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9C22-F7A3-41EB-8956-EE1BD0F42500}">
  <dimension ref="B1:AF71"/>
  <sheetViews>
    <sheetView workbookViewId="0">
      <selection activeCell="D4" sqref="D4:H4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0" t="s">
        <v>25</v>
      </c>
      <c r="E3" s="40"/>
      <c r="F3" s="40"/>
      <c r="G3" s="40"/>
      <c r="H3" s="40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1" t="s">
        <v>26</v>
      </c>
      <c r="E4" s="41"/>
      <c r="F4" s="41"/>
      <c r="G4" s="41"/>
      <c r="H4" s="41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1" t="s">
        <v>26</v>
      </c>
      <c r="E5" s="41"/>
      <c r="F5" s="41"/>
      <c r="G5" s="41"/>
      <c r="H5" s="41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7.399999999999999" x14ac:dyDescent="0.3">
      <c r="C8" s="9">
        <v>4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5">
      <c r="B16" s="5"/>
      <c r="C16" s="5" t="s">
        <v>11</v>
      </c>
      <c r="D16" s="10">
        <v>10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9</v>
      </c>
      <c r="H17" s="4">
        <f ca="1">IF(AND(SUM(OFFSET(H21,1,0,TaskRows,1))=0),0,SUM(OFFSET(H21,1,0,TaskRows,1)))</f>
        <v>9</v>
      </c>
      <c r="I17" s="4">
        <f t="shared" ref="I17:AF17" ca="1" si="0">IF(AND(SUM(OFFSET(I21,1,0,TaskRows,1))=0),"",SUM(OFFSET(I21,1,0,TaskRows,1)))</f>
        <v>8</v>
      </c>
      <c r="J17" s="4">
        <f t="shared" ca="1" si="0"/>
        <v>7</v>
      </c>
      <c r="K17" s="4">
        <f t="shared" ca="1" si="0"/>
        <v>6</v>
      </c>
      <c r="L17" s="4">
        <f t="shared" ca="1" si="0"/>
        <v>5</v>
      </c>
      <c r="M17" s="4">
        <f t="shared" ca="1" si="0"/>
        <v>5</v>
      </c>
      <c r="N17" s="4">
        <f t="shared" ca="1" si="0"/>
        <v>4</v>
      </c>
      <c r="O17" s="4">
        <f t="shared" ca="1" si="0"/>
        <v>3</v>
      </c>
      <c r="P17" s="4">
        <f t="shared" ca="1" si="0"/>
        <v>2</v>
      </c>
      <c r="Q17" s="4" t="str">
        <f t="shared" ca="1" si="0"/>
        <v/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IF(COUNTA(C22:C249)=0,1,COUNTA(C22:C249))</f>
        <v>5</v>
      </c>
      <c r="E18" t="s">
        <v>2</v>
      </c>
      <c r="F18" s="1">
        <f ca="1">IF(COUNTIF(H17:AF17,"&gt;0")=0,1,COUNTIF(H17:AF17,"&gt;0"))</f>
        <v>9</v>
      </c>
      <c r="H18" s="1">
        <f ca="1">IF(H21="","",$G17-$G17/($D16-1)*(H21-1))</f>
        <v>9</v>
      </c>
      <c r="I18" s="1">
        <f t="shared" ref="I18:AF18" ca="1" si="1">IF(I21="","",TotalEffort-TotalEffort/(ImplementationDays)*(I21-1))</f>
        <v>8.1</v>
      </c>
      <c r="J18" s="1">
        <f t="shared" ca="1" si="1"/>
        <v>7.2</v>
      </c>
      <c r="K18" s="1">
        <f t="shared" ca="1" si="1"/>
        <v>6.3</v>
      </c>
      <c r="L18" s="1">
        <f t="shared" ca="1" si="1"/>
        <v>5.4</v>
      </c>
      <c r="M18" s="1">
        <f t="shared" ca="1" si="1"/>
        <v>4.5</v>
      </c>
      <c r="N18" s="1">
        <f t="shared" ca="1" si="1"/>
        <v>3.5999999999999996</v>
      </c>
      <c r="O18" s="1">
        <f t="shared" ca="1" si="1"/>
        <v>2.7</v>
      </c>
      <c r="P18" s="1">
        <f t="shared" ca="1" si="1"/>
        <v>1.7999999999999998</v>
      </c>
      <c r="Q18" s="1">
        <f t="shared" ca="1" si="1"/>
        <v>0.90000000000000036</v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8.7777777777777768</v>
      </c>
      <c r="I19" s="1">
        <f t="shared" ca="1" si="2"/>
        <v>7.9444444444444438</v>
      </c>
      <c r="J19" s="1">
        <f t="shared" ca="1" si="2"/>
        <v>7.1111111111111107</v>
      </c>
      <c r="K19" s="1">
        <f t="shared" ca="1" si="2"/>
        <v>6.2777777777777768</v>
      </c>
      <c r="L19" s="1">
        <f t="shared" ca="1" si="2"/>
        <v>5.4444444444444438</v>
      </c>
      <c r="M19" s="1">
        <f t="shared" ca="1" si="2"/>
        <v>4.6111111111111107</v>
      </c>
      <c r="N19" s="1">
        <f t="shared" ca="1" si="2"/>
        <v>3.7777777777777768</v>
      </c>
      <c r="O19" s="1">
        <f t="shared" ca="1" si="2"/>
        <v>2.9444444444444438</v>
      </c>
      <c r="P19" s="1">
        <f t="shared" ca="1" si="2"/>
        <v>2.1111111111111107</v>
      </c>
      <c r="Q19" s="1">
        <f t="shared" ca="1" si="2"/>
        <v>1.2777777777777768</v>
      </c>
      <c r="R19" s="1">
        <f t="shared" ca="1" si="2"/>
        <v>0.44444444444444287</v>
      </c>
      <c r="S19" s="1" t="str">
        <f t="shared" ca="1" si="2"/>
        <v/>
      </c>
      <c r="T19" s="1" t="str">
        <f t="shared" ca="1" si="2"/>
        <v/>
      </c>
      <c r="U19" s="1" t="str">
        <f t="shared" ca="1" si="2"/>
        <v/>
      </c>
      <c r="V19" s="1" t="str">
        <f t="shared" ca="1" si="2"/>
        <v/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9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 t="str">
        <f t="shared" si="3"/>
        <v/>
      </c>
      <c r="S21" s="6" t="str">
        <f t="shared" si="3"/>
        <v/>
      </c>
      <c r="T21" s="6" t="str">
        <f t="shared" si="3"/>
        <v/>
      </c>
      <c r="U21" s="6" t="str">
        <f t="shared" si="3"/>
        <v/>
      </c>
      <c r="V21" s="6" t="str">
        <f t="shared" si="3"/>
        <v/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B22">
        <v>7.1</v>
      </c>
      <c r="C22" s="37" t="s">
        <v>105</v>
      </c>
      <c r="D22" s="38" t="s">
        <v>39</v>
      </c>
      <c r="E22" s="37" t="s">
        <v>29</v>
      </c>
      <c r="F22" t="s">
        <v>21</v>
      </c>
      <c r="G22" s="1">
        <v>2</v>
      </c>
      <c r="H22" s="1">
        <f t="shared" ref="H22:W66" si="4">IF(OR(H$21="",$G22=""),"",G22)</f>
        <v>2</v>
      </c>
      <c r="I22" s="1">
        <v>2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5">
      <c r="B23">
        <v>7.2</v>
      </c>
      <c r="C23" s="37" t="s">
        <v>106</v>
      </c>
      <c r="D23" s="38" t="s">
        <v>39</v>
      </c>
      <c r="E23" s="37" t="s">
        <v>29</v>
      </c>
      <c r="F23" t="s">
        <v>21</v>
      </c>
      <c r="G23" s="1">
        <v>2</v>
      </c>
      <c r="H23" s="1">
        <f t="shared" si="4"/>
        <v>2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0</v>
      </c>
      <c r="AE23" s="1" t="str">
        <f t="shared" si="5"/>
        <v/>
      </c>
      <c r="AF23" s="1" t="str">
        <f t="shared" si="5"/>
        <v/>
      </c>
    </row>
    <row r="24" spans="2:32" x14ac:dyDescent="0.25">
      <c r="B24">
        <v>7.3</v>
      </c>
      <c r="C24" s="37" t="s">
        <v>107</v>
      </c>
      <c r="D24" s="38" t="s">
        <v>39</v>
      </c>
      <c r="E24" s="37" t="s">
        <v>29</v>
      </c>
      <c r="F24" t="s">
        <v>21</v>
      </c>
      <c r="G24" s="1">
        <v>2</v>
      </c>
      <c r="H24" s="1">
        <f t="shared" si="4"/>
        <v>2</v>
      </c>
      <c r="I24" s="1">
        <v>2</v>
      </c>
      <c r="J24" s="1">
        <v>2</v>
      </c>
      <c r="K24" s="1">
        <v>2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AE24" s="1" t="str">
        <f t="shared" si="5"/>
        <v/>
      </c>
      <c r="AF24" s="1" t="str">
        <f t="shared" si="5"/>
        <v/>
      </c>
    </row>
    <row r="25" spans="2:32" x14ac:dyDescent="0.25">
      <c r="B25">
        <v>7.4</v>
      </c>
      <c r="C25" s="37" t="s">
        <v>108</v>
      </c>
      <c r="D25" s="38" t="s">
        <v>39</v>
      </c>
      <c r="E25" s="37" t="s">
        <v>29</v>
      </c>
      <c r="F25" t="s">
        <v>21</v>
      </c>
      <c r="G25" s="1">
        <v>2</v>
      </c>
      <c r="H25" s="1">
        <f t="shared" si="4"/>
        <v>2</v>
      </c>
      <c r="I25" s="1">
        <v>2</v>
      </c>
      <c r="J25" s="1">
        <v>2</v>
      </c>
      <c r="K25" s="1">
        <v>1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AE25" s="1" t="str">
        <f t="shared" si="5"/>
        <v/>
      </c>
      <c r="AF25" s="1" t="str">
        <f t="shared" si="5"/>
        <v/>
      </c>
    </row>
    <row r="26" spans="2:32" x14ac:dyDescent="0.25">
      <c r="B26">
        <v>7.5</v>
      </c>
      <c r="C26" t="s">
        <v>109</v>
      </c>
      <c r="D26" s="38" t="s">
        <v>39</v>
      </c>
      <c r="E26" s="37" t="s">
        <v>29</v>
      </c>
      <c r="F26" t="s">
        <v>21</v>
      </c>
      <c r="G26" s="1">
        <v>1</v>
      </c>
      <c r="H26" s="1">
        <f t="shared" si="4"/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  <c r="Q26" s="1">
        <v>0</v>
      </c>
      <c r="AE26" s="1" t="str">
        <f t="shared" si="5"/>
        <v/>
      </c>
      <c r="AF26" s="1" t="str">
        <f t="shared" si="5"/>
        <v/>
      </c>
    </row>
    <row r="27" spans="2:32" x14ac:dyDescent="0.25">
      <c r="F27" t="str">
        <f t="shared" ref="F27:F63" si="6">IF(C27&lt;&gt;"","Planned","")</f>
        <v/>
      </c>
      <c r="H27" s="1" t="str">
        <f t="shared" si="4"/>
        <v/>
      </c>
      <c r="AE27" s="1" t="str">
        <f t="shared" si="5"/>
        <v/>
      </c>
      <c r="AF27" s="1" t="str">
        <f t="shared" si="5"/>
        <v/>
      </c>
    </row>
    <row r="28" spans="2:32" x14ac:dyDescent="0.25">
      <c r="F28" t="str">
        <f t="shared" si="6"/>
        <v/>
      </c>
      <c r="H28" s="1" t="str">
        <f t="shared" si="4"/>
        <v/>
      </c>
      <c r="AE28" s="1" t="str">
        <f t="shared" si="5"/>
        <v/>
      </c>
      <c r="AF28" s="1" t="str">
        <f t="shared" si="5"/>
        <v/>
      </c>
    </row>
    <row r="29" spans="2:32" x14ac:dyDescent="0.25">
      <c r="F29" t="str">
        <f t="shared" si="6"/>
        <v/>
      </c>
      <c r="H29" s="1" t="str">
        <f t="shared" si="4"/>
        <v/>
      </c>
      <c r="AE29" s="1" t="str">
        <f t="shared" si="5"/>
        <v/>
      </c>
      <c r="AF29" s="1" t="str">
        <f t="shared" si="5"/>
        <v/>
      </c>
    </row>
    <row r="30" spans="2:32" x14ac:dyDescent="0.25">
      <c r="F30" t="str">
        <f t="shared" si="6"/>
        <v/>
      </c>
      <c r="H30" s="1" t="str">
        <f t="shared" si="4"/>
        <v/>
      </c>
      <c r="AE30" s="1" t="str">
        <f t="shared" si="5"/>
        <v/>
      </c>
      <c r="AF30" s="1" t="str">
        <f t="shared" si="5"/>
        <v/>
      </c>
    </row>
    <row r="31" spans="2:32" x14ac:dyDescent="0.25">
      <c r="F31" t="str">
        <f t="shared" si="6"/>
        <v/>
      </c>
      <c r="H31" s="1" t="str">
        <f t="shared" si="4"/>
        <v/>
      </c>
      <c r="AE31" s="1" t="str">
        <f t="shared" si="5"/>
        <v/>
      </c>
      <c r="AF31" s="1" t="str">
        <f t="shared" si="5"/>
        <v/>
      </c>
    </row>
    <row r="32" spans="2:32" x14ac:dyDescent="0.25">
      <c r="F32" t="str">
        <f t="shared" si="6"/>
        <v/>
      </c>
      <c r="H32" s="1" t="str">
        <f t="shared" si="4"/>
        <v/>
      </c>
      <c r="AE32" s="1" t="str">
        <f t="shared" si="5"/>
        <v/>
      </c>
      <c r="AF32" s="1" t="str">
        <f t="shared" si="5"/>
        <v/>
      </c>
    </row>
    <row r="33" spans="6:32" x14ac:dyDescent="0.25">
      <c r="F33" t="str">
        <f t="shared" si="6"/>
        <v/>
      </c>
      <c r="H33" s="1" t="str">
        <f t="shared" si="4"/>
        <v/>
      </c>
      <c r="AE33" s="1" t="str">
        <f t="shared" si="5"/>
        <v/>
      </c>
      <c r="AF33" s="1" t="str">
        <f t="shared" si="5"/>
        <v/>
      </c>
    </row>
    <row r="34" spans="6:32" x14ac:dyDescent="0.25">
      <c r="F34" t="str">
        <f t="shared" si="6"/>
        <v/>
      </c>
      <c r="H34" s="1" t="str">
        <f t="shared" si="4"/>
        <v/>
      </c>
      <c r="AE34" s="1" t="str">
        <f t="shared" si="5"/>
        <v/>
      </c>
      <c r="AF34" s="1" t="str">
        <f t="shared" si="5"/>
        <v/>
      </c>
    </row>
    <row r="35" spans="6:32" x14ac:dyDescent="0.25">
      <c r="F35" t="str">
        <f t="shared" si="6"/>
        <v/>
      </c>
      <c r="H35" s="1" t="str">
        <f t="shared" si="4"/>
        <v/>
      </c>
      <c r="AE35" s="1" t="str">
        <f t="shared" si="5"/>
        <v/>
      </c>
      <c r="AF35" s="1" t="str">
        <f t="shared" si="5"/>
        <v/>
      </c>
    </row>
    <row r="36" spans="6:32" x14ac:dyDescent="0.25">
      <c r="F36" t="str">
        <f t="shared" si="6"/>
        <v/>
      </c>
      <c r="H36" s="1" t="str">
        <f t="shared" si="4"/>
        <v/>
      </c>
      <c r="AE36" s="1" t="str">
        <f t="shared" si="5"/>
        <v/>
      </c>
      <c r="AF36" s="1" t="str">
        <f t="shared" si="5"/>
        <v/>
      </c>
    </row>
    <row r="37" spans="6:32" x14ac:dyDescent="0.25">
      <c r="F37" t="str">
        <f t="shared" si="6"/>
        <v/>
      </c>
      <c r="H37" s="1" t="str">
        <f t="shared" si="4"/>
        <v/>
      </c>
      <c r="AE37" s="1" t="str">
        <f t="shared" si="5"/>
        <v/>
      </c>
      <c r="AF37" s="1" t="str">
        <f t="shared" si="5"/>
        <v/>
      </c>
    </row>
    <row r="38" spans="6:32" x14ac:dyDescent="0.25">
      <c r="F38" t="str">
        <f t="shared" si="6"/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5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6:32" x14ac:dyDescent="0.25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6:32" x14ac:dyDescent="0.25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6:32" x14ac:dyDescent="0.25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6:32" x14ac:dyDescent="0.25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6:32" x14ac:dyDescent="0.25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6:32" x14ac:dyDescent="0.25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6:32" x14ac:dyDescent="0.25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6:32" x14ac:dyDescent="0.25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6:32" x14ac:dyDescent="0.25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5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5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5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5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5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5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5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5">
      <c r="F62" t="str">
        <f t="shared" si="6"/>
        <v/>
      </c>
      <c r="H62" s="1" t="str">
        <f t="shared" si="4"/>
        <v/>
      </c>
      <c r="I62" s="1" t="str">
        <f t="shared" si="4"/>
        <v/>
      </c>
      <c r="J62" s="1" t="str">
        <f t="shared" si="4"/>
        <v/>
      </c>
      <c r="K62" s="1" t="str">
        <f t="shared" si="4"/>
        <v/>
      </c>
      <c r="L62" s="1" t="str">
        <f t="shared" si="4"/>
        <v/>
      </c>
      <c r="M62" s="1" t="str">
        <f t="shared" si="4"/>
        <v/>
      </c>
      <c r="N62" s="1" t="str">
        <f t="shared" si="4"/>
        <v/>
      </c>
      <c r="O62" s="1" t="str">
        <f t="shared" si="4"/>
        <v/>
      </c>
      <c r="P62" s="1" t="str">
        <f t="shared" si="4"/>
        <v/>
      </c>
      <c r="Q62" s="1" t="str">
        <f t="shared" si="4"/>
        <v/>
      </c>
      <c r="R62" s="1" t="str">
        <f t="shared" si="4"/>
        <v/>
      </c>
      <c r="S62" s="1" t="str">
        <f t="shared" si="4"/>
        <v/>
      </c>
      <c r="T62" s="1" t="str">
        <f t="shared" si="4"/>
        <v/>
      </c>
      <c r="U62" s="1" t="str">
        <f t="shared" si="4"/>
        <v/>
      </c>
      <c r="V62" s="1" t="str">
        <f t="shared" si="4"/>
        <v/>
      </c>
      <c r="W62" s="1" t="str">
        <f t="shared" si="4"/>
        <v/>
      </c>
      <c r="X62" s="1" t="str">
        <f t="shared" ref="X62:AD63" si="9">IF(OR(X$21="",$G62=""),"",W62)</f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5">
      <c r="F63" t="str">
        <f t="shared" si="6"/>
        <v/>
      </c>
      <c r="H63" s="1" t="str">
        <f t="shared" si="4"/>
        <v/>
      </c>
      <c r="I63" s="1" t="str">
        <f t="shared" si="4"/>
        <v/>
      </c>
      <c r="J63" s="1" t="str">
        <f t="shared" si="4"/>
        <v/>
      </c>
      <c r="K63" s="1" t="str">
        <f t="shared" si="4"/>
        <v/>
      </c>
      <c r="L63" s="1" t="str">
        <f t="shared" si="4"/>
        <v/>
      </c>
      <c r="M63" s="1" t="str">
        <f t="shared" si="4"/>
        <v/>
      </c>
      <c r="N63" s="1" t="str">
        <f t="shared" si="4"/>
        <v/>
      </c>
      <c r="O63" s="1" t="str">
        <f t="shared" si="4"/>
        <v/>
      </c>
      <c r="P63" s="1" t="str">
        <f t="shared" si="4"/>
        <v/>
      </c>
      <c r="Q63" s="1" t="str">
        <f t="shared" si="4"/>
        <v/>
      </c>
      <c r="R63" s="1" t="str">
        <f t="shared" si="4"/>
        <v/>
      </c>
      <c r="S63" s="1" t="str">
        <f t="shared" si="4"/>
        <v/>
      </c>
      <c r="T63" s="1" t="str">
        <f t="shared" si="4"/>
        <v/>
      </c>
      <c r="U63" s="1" t="str">
        <f t="shared" si="4"/>
        <v/>
      </c>
      <c r="V63" s="1" t="str">
        <f t="shared" si="4"/>
        <v/>
      </c>
      <c r="W63" s="1" t="str">
        <f t="shared" si="4"/>
        <v/>
      </c>
      <c r="X63" s="1" t="str">
        <f t="shared" si="9"/>
        <v/>
      </c>
      <c r="Y63" s="1" t="str">
        <f t="shared" si="9"/>
        <v/>
      </c>
      <c r="Z63" s="1" t="str">
        <f t="shared" si="9"/>
        <v/>
      </c>
      <c r="AA63" s="1" t="str">
        <f t="shared" si="9"/>
        <v/>
      </c>
      <c r="AB63" s="1" t="str">
        <f t="shared" si="9"/>
        <v/>
      </c>
      <c r="AC63" s="1" t="str">
        <f t="shared" si="9"/>
        <v/>
      </c>
      <c r="AD63" s="1" t="str">
        <f t="shared" si="9"/>
        <v/>
      </c>
      <c r="AE63" s="1" t="str">
        <f t="shared" si="8"/>
        <v/>
      </c>
      <c r="AF63" s="1" t="str">
        <f t="shared" si="8"/>
        <v/>
      </c>
    </row>
    <row r="64" spans="6:32" x14ac:dyDescent="0.25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2:32" x14ac:dyDescent="0.25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2:32" x14ac:dyDescent="0.25">
      <c r="F66" t="s">
        <v>9</v>
      </c>
      <c r="H66" s="1" t="str">
        <f t="shared" si="4"/>
        <v/>
      </c>
    </row>
    <row r="71" spans="2:32" s="1" customFormat="1" x14ac:dyDescent="0.25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15" priority="1" stopIfTrue="1">
      <formula>$F22="Done"</formula>
    </cfRule>
    <cfRule type="expression" dxfId="14" priority="2" stopIfTrue="1">
      <formula>$F22="Ongoing"</formula>
    </cfRule>
  </conditionalFormatting>
  <conditionalFormatting sqref="B22:AF65">
    <cfRule type="expression" dxfId="13" priority="3" stopIfTrue="1">
      <formula>$F22="Terminado"</formula>
    </cfRule>
    <cfRule type="expression" dxfId="12" priority="4" stopIfTrue="1">
      <formula>$F22="En Progreso"</formula>
    </cfRule>
  </conditionalFormatting>
  <dataValidations count="1">
    <dataValidation type="list" allowBlank="1" showInputMessage="1" sqref="F10:F15 F22:F71" xr:uid="{D07A32BC-116B-4731-9B1E-5F6576A1A29A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B7F3-DF33-479A-B18B-A114F964016E}">
  <dimension ref="B1:AF71"/>
  <sheetViews>
    <sheetView topLeftCell="A3" workbookViewId="0">
      <selection activeCell="D24" sqref="D24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0" t="s">
        <v>25</v>
      </c>
      <c r="E3" s="40"/>
      <c r="F3" s="40"/>
      <c r="G3" s="40"/>
      <c r="H3" s="40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1" t="s">
        <v>26</v>
      </c>
      <c r="E4" s="41"/>
      <c r="F4" s="41"/>
      <c r="G4" s="41"/>
      <c r="H4" s="41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1" t="s">
        <v>26</v>
      </c>
      <c r="E5" s="41"/>
      <c r="F5" s="41"/>
      <c r="G5" s="41"/>
      <c r="H5" s="41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8" spans="2:32" ht="17.399999999999999" x14ac:dyDescent="0.3">
      <c r="C8" s="9">
        <v>5</v>
      </c>
      <c r="D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4" spans="2:32" x14ac:dyDescent="0.25">
      <c r="D14" s="38"/>
    </row>
    <row r="16" spans="2:32" x14ac:dyDescent="0.25">
      <c r="B16" s="5"/>
      <c r="C16" s="5" t="s">
        <v>11</v>
      </c>
      <c r="D16" s="10">
        <v>15</v>
      </c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>
        <v>10</v>
      </c>
      <c r="E17" s="5" t="s">
        <v>13</v>
      </c>
      <c r="F17" s="5" t="s">
        <v>17</v>
      </c>
      <c r="G17" s="4">
        <f ca="1">SUM(OFFSET(G21,1,0,TaskRows,1))</f>
        <v>17</v>
      </c>
      <c r="H17" s="4">
        <f ca="1">IF(AND(SUM(OFFSET(H21,1,0,TaskRows,1))=0),0,SUM(OFFSET(H21,1,0,TaskRows,1)))</f>
        <v>17</v>
      </c>
      <c r="I17" s="4">
        <f t="shared" ref="I17:AF17" ca="1" si="0">IF(AND(SUM(OFFSET(I21,1,0,TaskRows,1))=0),"",SUM(OFFSET(I21,1,0,TaskRows,1)))</f>
        <v>16</v>
      </c>
      <c r="J17" s="4">
        <f t="shared" ca="1" si="0"/>
        <v>15</v>
      </c>
      <c r="K17" s="4">
        <f t="shared" ca="1" si="0"/>
        <v>15</v>
      </c>
      <c r="L17" s="4">
        <f t="shared" ca="1" si="0"/>
        <v>14</v>
      </c>
      <c r="M17" s="4">
        <f t="shared" ca="1" si="0"/>
        <v>12</v>
      </c>
      <c r="N17" s="4">
        <f t="shared" ca="1" si="0"/>
        <v>11</v>
      </c>
      <c r="O17" s="4">
        <f t="shared" ca="1" si="0"/>
        <v>10</v>
      </c>
      <c r="P17" s="4">
        <f t="shared" ca="1" si="0"/>
        <v>10</v>
      </c>
      <c r="Q17" s="4">
        <f t="shared" ca="1" si="0"/>
        <v>9</v>
      </c>
      <c r="R17" s="4">
        <f t="shared" ca="1" si="0"/>
        <v>4</v>
      </c>
      <c r="S17" s="4">
        <f t="shared" ca="1" si="0"/>
        <v>4</v>
      </c>
      <c r="T17" s="4">
        <f t="shared" ca="1" si="0"/>
        <v>3</v>
      </c>
      <c r="U17" s="4">
        <f t="shared" ca="1" si="0"/>
        <v>2</v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IF(COUNTA(C22:C249)=0,1,COUNTA(C22:C249))</f>
        <v>10</v>
      </c>
      <c r="E18" t="s">
        <v>2</v>
      </c>
      <c r="F18" s="1">
        <f ca="1">IF(COUNTIF(H17:AF17,"&gt;0")=0,1,COUNTIF(H17:AF17,"&gt;0"))</f>
        <v>14</v>
      </c>
      <c r="H18" s="1">
        <f ca="1">IF(H21="","",$G17-$G17/($D16-1)*(H21-1))</f>
        <v>17</v>
      </c>
      <c r="I18" s="1">
        <f t="shared" ref="I18:AF18" ca="1" si="1">IF(I21="","",TotalEffort-TotalEffort/(ImplementationDays)*(I21-1))</f>
        <v>15.866666666666667</v>
      </c>
      <c r="J18" s="1">
        <f t="shared" ca="1" si="1"/>
        <v>14.733333333333334</v>
      </c>
      <c r="K18" s="1">
        <f t="shared" ca="1" si="1"/>
        <v>13.6</v>
      </c>
      <c r="L18" s="1">
        <f t="shared" ca="1" si="1"/>
        <v>12.466666666666667</v>
      </c>
      <c r="M18" s="1">
        <f t="shared" ca="1" si="1"/>
        <v>11.333333333333334</v>
      </c>
      <c r="N18" s="1">
        <f t="shared" ca="1" si="1"/>
        <v>10.199999999999999</v>
      </c>
      <c r="O18" s="1">
        <f t="shared" ca="1" si="1"/>
        <v>9.0666666666666664</v>
      </c>
      <c r="P18" s="1">
        <f t="shared" ca="1" si="1"/>
        <v>7.9333333333333336</v>
      </c>
      <c r="Q18" s="1">
        <f t="shared" ca="1" si="1"/>
        <v>6.8000000000000007</v>
      </c>
      <c r="R18" s="1">
        <f t="shared" ca="1" si="1"/>
        <v>5.6666666666666679</v>
      </c>
      <c r="S18" s="1">
        <f t="shared" ca="1" si="1"/>
        <v>4.5333333333333332</v>
      </c>
      <c r="T18" s="1">
        <f t="shared" ca="1" si="1"/>
        <v>3.4000000000000004</v>
      </c>
      <c r="U18" s="1">
        <f t="shared" ca="1" si="1"/>
        <v>2.2666666666666675</v>
      </c>
      <c r="V18" s="1">
        <f t="shared" ca="1" si="1"/>
        <v>1.1333333333333329</v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19.490909090909096</v>
      </c>
      <c r="I19" s="1">
        <f t="shared" ca="1" si="2"/>
        <v>18.127272727272732</v>
      </c>
      <c r="J19" s="1">
        <f t="shared" ca="1" si="2"/>
        <v>16.763636363636365</v>
      </c>
      <c r="K19" s="1">
        <f t="shared" ca="1" si="2"/>
        <v>15.400000000000002</v>
      </c>
      <c r="L19" s="1">
        <f t="shared" ca="1" si="2"/>
        <v>14.036363636363639</v>
      </c>
      <c r="M19" s="1">
        <f t="shared" ca="1" si="2"/>
        <v>12.672727272727276</v>
      </c>
      <c r="N19" s="1">
        <f t="shared" ca="1" si="2"/>
        <v>11.30909090909091</v>
      </c>
      <c r="O19" s="1">
        <f t="shared" ca="1" si="2"/>
        <v>9.9454545454545471</v>
      </c>
      <c r="P19" s="1">
        <f t="shared" ca="1" si="2"/>
        <v>8.5818181818181838</v>
      </c>
      <c r="Q19" s="1">
        <f t="shared" ca="1" si="2"/>
        <v>7.2181818181818187</v>
      </c>
      <c r="R19" s="1">
        <f t="shared" ca="1" si="2"/>
        <v>5.8545454545454554</v>
      </c>
      <c r="S19" s="1">
        <f t="shared" ca="1" si="2"/>
        <v>4.4909090909090921</v>
      </c>
      <c r="T19" s="1">
        <f t="shared" ca="1" si="2"/>
        <v>3.1272727272727288</v>
      </c>
      <c r="U19" s="1">
        <f t="shared" ca="1" si="2"/>
        <v>1.7636363636363619</v>
      </c>
      <c r="V19" s="1">
        <f t="shared" ca="1" si="2"/>
        <v>0.39999999999999858</v>
      </c>
      <c r="W19" s="1" t="str">
        <f t="shared" ca="1" si="2"/>
        <v/>
      </c>
      <c r="X19" s="1" t="str">
        <f t="shared" ca="1" si="2"/>
        <v/>
      </c>
      <c r="Y19" s="1" t="str">
        <f t="shared" ca="1" si="2"/>
        <v/>
      </c>
      <c r="Z19" s="1" t="str">
        <f t="shared" ca="1" si="2"/>
        <v/>
      </c>
      <c r="AA19" s="1" t="str">
        <f t="shared" ca="1" si="2"/>
        <v/>
      </c>
      <c r="AB19" s="1" t="str">
        <f t="shared" ca="1" si="2"/>
        <v/>
      </c>
      <c r="AC19" s="1" t="str">
        <f t="shared" ca="1" si="2"/>
        <v/>
      </c>
      <c r="AD19" s="1" t="str">
        <f t="shared" ca="1" si="2"/>
        <v/>
      </c>
      <c r="AE19" s="1" t="str">
        <f t="shared" ca="1" si="2"/>
        <v/>
      </c>
      <c r="AF19" s="1" t="str">
        <f t="shared" ca="1" si="2"/>
        <v/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10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>
        <f t="shared" ref="I21:AF21" si="3">IF($D$16&gt;H21,H21+1,"")</f>
        <v>2</v>
      </c>
      <c r="J21" s="6">
        <f t="shared" si="3"/>
        <v>3</v>
      </c>
      <c r="K21" s="6">
        <f t="shared" si="3"/>
        <v>4</v>
      </c>
      <c r="L21" s="6">
        <f t="shared" si="3"/>
        <v>5</v>
      </c>
      <c r="M21" s="6">
        <f t="shared" si="3"/>
        <v>6</v>
      </c>
      <c r="N21" s="6">
        <f t="shared" si="3"/>
        <v>7</v>
      </c>
      <c r="O21" s="6">
        <f t="shared" si="3"/>
        <v>8</v>
      </c>
      <c r="P21" s="6">
        <f t="shared" si="3"/>
        <v>9</v>
      </c>
      <c r="Q21" s="6">
        <f t="shared" si="3"/>
        <v>10</v>
      </c>
      <c r="R21" s="6">
        <f t="shared" si="3"/>
        <v>11</v>
      </c>
      <c r="S21" s="6">
        <f t="shared" si="3"/>
        <v>12</v>
      </c>
      <c r="T21" s="6">
        <f t="shared" si="3"/>
        <v>13</v>
      </c>
      <c r="U21" s="6">
        <f t="shared" si="3"/>
        <v>14</v>
      </c>
      <c r="V21" s="6">
        <f t="shared" si="3"/>
        <v>15</v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B22">
        <v>9.1</v>
      </c>
      <c r="C22" s="37" t="s">
        <v>110</v>
      </c>
      <c r="D22" s="38" t="s">
        <v>47</v>
      </c>
      <c r="E22" s="37" t="s">
        <v>32</v>
      </c>
      <c r="F22" t="s">
        <v>21</v>
      </c>
      <c r="G22" s="1">
        <v>2</v>
      </c>
      <c r="H22" s="1">
        <f t="shared" ref="H22:W66" si="4">IF(OR(H$21="",$G22=""),"",G22)</f>
        <v>2</v>
      </c>
      <c r="I22" s="1">
        <v>2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0</v>
      </c>
      <c r="V22" s="1">
        <v>0</v>
      </c>
      <c r="AE22" s="1" t="str">
        <f t="shared" ref="AE22:AF37" si="5">IF(OR(AE$21="",$G22=""),"",AD22)</f>
        <v/>
      </c>
      <c r="AF22" s="1" t="str">
        <f t="shared" si="5"/>
        <v/>
      </c>
    </row>
    <row r="23" spans="2:32" x14ac:dyDescent="0.25">
      <c r="B23">
        <v>9.1999999999999993</v>
      </c>
      <c r="C23" s="37" t="s">
        <v>111</v>
      </c>
      <c r="D23" s="38" t="s">
        <v>47</v>
      </c>
      <c r="E23" s="37" t="s">
        <v>32</v>
      </c>
      <c r="F23" t="s">
        <v>21</v>
      </c>
      <c r="G23" s="1">
        <v>2</v>
      </c>
      <c r="H23" s="1">
        <f t="shared" si="4"/>
        <v>2</v>
      </c>
      <c r="I23" s="1">
        <v>2</v>
      </c>
      <c r="J23" s="1">
        <v>2</v>
      </c>
      <c r="K23" s="1">
        <v>2</v>
      </c>
      <c r="L23" s="1">
        <v>2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AE23" s="1" t="str">
        <f t="shared" si="5"/>
        <v/>
      </c>
      <c r="AF23" s="1" t="str">
        <f t="shared" si="5"/>
        <v/>
      </c>
    </row>
    <row r="24" spans="2:32" x14ac:dyDescent="0.25">
      <c r="B24">
        <v>9.3000000000000007</v>
      </c>
      <c r="C24" s="37" t="s">
        <v>112</v>
      </c>
      <c r="D24" s="38" t="s">
        <v>47</v>
      </c>
      <c r="E24" s="37" t="s">
        <v>32</v>
      </c>
      <c r="F24" t="s">
        <v>21</v>
      </c>
      <c r="G24" s="1">
        <v>2</v>
      </c>
      <c r="H24" s="1">
        <f t="shared" si="4"/>
        <v>2</v>
      </c>
      <c r="I24" s="1">
        <v>2</v>
      </c>
      <c r="J24" s="1">
        <v>2</v>
      </c>
      <c r="K24" s="1">
        <v>2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AE24" s="1" t="str">
        <f t="shared" si="5"/>
        <v/>
      </c>
      <c r="AF24" s="1" t="str">
        <f t="shared" si="5"/>
        <v/>
      </c>
    </row>
    <row r="25" spans="2:32" x14ac:dyDescent="0.25">
      <c r="B25">
        <v>9.4</v>
      </c>
      <c r="C25" s="37" t="s">
        <v>93</v>
      </c>
      <c r="D25" s="38" t="s">
        <v>47</v>
      </c>
      <c r="E25" s="37" t="s">
        <v>32</v>
      </c>
      <c r="F25" t="s">
        <v>21</v>
      </c>
      <c r="G25" s="1">
        <v>2</v>
      </c>
      <c r="H25" s="1">
        <f t="shared" si="4"/>
        <v>2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AE25" s="1" t="str">
        <f t="shared" si="5"/>
        <v/>
      </c>
      <c r="AF25" s="1" t="str">
        <f t="shared" si="5"/>
        <v/>
      </c>
    </row>
    <row r="26" spans="2:32" x14ac:dyDescent="0.25">
      <c r="B26">
        <v>9.5</v>
      </c>
      <c r="C26" t="s">
        <v>113</v>
      </c>
      <c r="D26" s="38" t="s">
        <v>47</v>
      </c>
      <c r="E26" s="37" t="s">
        <v>32</v>
      </c>
      <c r="F26" t="s">
        <v>21</v>
      </c>
      <c r="G26" s="1">
        <v>1</v>
      </c>
      <c r="H26" s="1">
        <f t="shared" si="4"/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AE26" s="1" t="str">
        <f t="shared" si="5"/>
        <v/>
      </c>
      <c r="AF26" s="1" t="str">
        <f t="shared" si="5"/>
        <v/>
      </c>
    </row>
    <row r="27" spans="2:32" x14ac:dyDescent="0.25">
      <c r="B27">
        <v>14.1</v>
      </c>
      <c r="C27" t="s">
        <v>114</v>
      </c>
      <c r="D27" s="38" t="s">
        <v>48</v>
      </c>
      <c r="E27" s="37" t="s">
        <v>30</v>
      </c>
      <c r="F27" t="s">
        <v>21</v>
      </c>
      <c r="G27" s="1">
        <v>2</v>
      </c>
      <c r="H27" s="1">
        <f t="shared" si="4"/>
        <v>2</v>
      </c>
      <c r="I27" s="1">
        <v>2</v>
      </c>
      <c r="J27" s="1">
        <v>2</v>
      </c>
      <c r="K27" s="1">
        <v>2</v>
      </c>
      <c r="L27" s="1">
        <v>2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AE27" s="1" t="str">
        <f t="shared" si="5"/>
        <v/>
      </c>
      <c r="AF27" s="1" t="str">
        <f t="shared" si="5"/>
        <v/>
      </c>
    </row>
    <row r="28" spans="2:32" x14ac:dyDescent="0.25">
      <c r="B28">
        <v>14.2</v>
      </c>
      <c r="C28" t="s">
        <v>115</v>
      </c>
      <c r="D28" s="38" t="s">
        <v>48</v>
      </c>
      <c r="E28" s="37" t="s">
        <v>30</v>
      </c>
      <c r="F28" t="s">
        <v>21</v>
      </c>
      <c r="G28" s="1">
        <v>2</v>
      </c>
      <c r="H28" s="1">
        <f t="shared" si="4"/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AE28" s="1" t="str">
        <f t="shared" si="5"/>
        <v/>
      </c>
      <c r="AF28" s="1" t="str">
        <f t="shared" si="5"/>
        <v/>
      </c>
    </row>
    <row r="29" spans="2:32" x14ac:dyDescent="0.25">
      <c r="B29">
        <v>14.3</v>
      </c>
      <c r="C29" t="s">
        <v>116</v>
      </c>
      <c r="D29" s="38" t="s">
        <v>48</v>
      </c>
      <c r="E29" s="37" t="s">
        <v>30</v>
      </c>
      <c r="F29" t="s">
        <v>21</v>
      </c>
      <c r="G29" s="1">
        <v>2</v>
      </c>
      <c r="H29" s="1">
        <f t="shared" si="4"/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0</v>
      </c>
      <c r="AE29" s="1" t="str">
        <f t="shared" si="5"/>
        <v/>
      </c>
      <c r="AF29" s="1" t="str">
        <f t="shared" si="5"/>
        <v/>
      </c>
    </row>
    <row r="30" spans="2:32" x14ac:dyDescent="0.25">
      <c r="B30">
        <v>14.4</v>
      </c>
      <c r="C30" t="s">
        <v>117</v>
      </c>
      <c r="D30" s="38" t="s">
        <v>48</v>
      </c>
      <c r="E30" s="37" t="s">
        <v>30</v>
      </c>
      <c r="F30" t="s">
        <v>21</v>
      </c>
      <c r="G30" s="1">
        <v>1</v>
      </c>
      <c r="H30" s="1">
        <f t="shared" si="4"/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AE30" s="1" t="str">
        <f t="shared" si="5"/>
        <v/>
      </c>
      <c r="AF30" s="1" t="str">
        <f t="shared" si="5"/>
        <v/>
      </c>
    </row>
    <row r="31" spans="2:32" x14ac:dyDescent="0.25">
      <c r="B31">
        <v>14.5</v>
      </c>
      <c r="C31" t="s">
        <v>75</v>
      </c>
      <c r="D31" s="38" t="s">
        <v>48</v>
      </c>
      <c r="E31" s="37" t="s">
        <v>30</v>
      </c>
      <c r="F31" t="s">
        <v>21</v>
      </c>
      <c r="G31" s="1">
        <v>1</v>
      </c>
      <c r="H31" s="1">
        <f t="shared" si="4"/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AE31" s="1" t="str">
        <f t="shared" si="5"/>
        <v/>
      </c>
      <c r="AF31" s="1" t="str">
        <f t="shared" si="5"/>
        <v/>
      </c>
    </row>
    <row r="32" spans="2:32" x14ac:dyDescent="0.25">
      <c r="F32" t="str">
        <f t="shared" ref="F32:F63" si="6">IF(C32&lt;&gt;"","Planned","")</f>
        <v/>
      </c>
      <c r="H32" s="1" t="str">
        <f t="shared" si="4"/>
        <v/>
      </c>
      <c r="R32" s="39"/>
      <c r="AE32" s="1" t="str">
        <f t="shared" si="5"/>
        <v/>
      </c>
      <c r="AF32" s="1" t="str">
        <f t="shared" si="5"/>
        <v/>
      </c>
    </row>
    <row r="33" spans="6:32" x14ac:dyDescent="0.25">
      <c r="F33" t="str">
        <f t="shared" si="6"/>
        <v/>
      </c>
      <c r="H33" s="1" t="str">
        <f t="shared" si="4"/>
        <v/>
      </c>
      <c r="AE33" s="1" t="str">
        <f t="shared" si="5"/>
        <v/>
      </c>
      <c r="AF33" s="1" t="str">
        <f t="shared" si="5"/>
        <v/>
      </c>
    </row>
    <row r="34" spans="6:32" x14ac:dyDescent="0.25">
      <c r="F34" t="str">
        <f t="shared" si="6"/>
        <v/>
      </c>
      <c r="H34" s="1" t="str">
        <f t="shared" si="4"/>
        <v/>
      </c>
      <c r="AE34" s="1" t="str">
        <f t="shared" si="5"/>
        <v/>
      </c>
      <c r="AF34" s="1" t="str">
        <f t="shared" si="5"/>
        <v/>
      </c>
    </row>
    <row r="35" spans="6:32" x14ac:dyDescent="0.25">
      <c r="F35" t="str">
        <f t="shared" si="6"/>
        <v/>
      </c>
      <c r="H35" s="1" t="str">
        <f t="shared" si="4"/>
        <v/>
      </c>
      <c r="AE35" s="1" t="str">
        <f t="shared" si="5"/>
        <v/>
      </c>
      <c r="AF35" s="1" t="str">
        <f t="shared" si="5"/>
        <v/>
      </c>
    </row>
    <row r="36" spans="6:32" x14ac:dyDescent="0.25">
      <c r="F36" t="str">
        <f t="shared" si="6"/>
        <v/>
      </c>
      <c r="H36" s="1" t="str">
        <f t="shared" si="4"/>
        <v/>
      </c>
      <c r="AE36" s="1" t="str">
        <f t="shared" si="5"/>
        <v/>
      </c>
      <c r="AF36" s="1" t="str">
        <f t="shared" si="5"/>
        <v/>
      </c>
    </row>
    <row r="37" spans="6:32" x14ac:dyDescent="0.25">
      <c r="F37" t="str">
        <f t="shared" si="6"/>
        <v/>
      </c>
      <c r="H37" s="1" t="str">
        <f t="shared" si="4"/>
        <v/>
      </c>
      <c r="AE37" s="1" t="str">
        <f t="shared" si="5"/>
        <v/>
      </c>
      <c r="AF37" s="1" t="str">
        <f t="shared" si="5"/>
        <v/>
      </c>
    </row>
    <row r="38" spans="6:32" x14ac:dyDescent="0.25">
      <c r="F38" t="str">
        <f t="shared" si="6"/>
        <v/>
      </c>
      <c r="H38" s="1" t="str">
        <f t="shared" si="4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5">
      <c r="F39" t="str">
        <f t="shared" si="6"/>
        <v/>
      </c>
      <c r="H39" s="1" t="str">
        <f t="shared" si="4"/>
        <v/>
      </c>
      <c r="AE39" s="1" t="str">
        <f t="shared" si="7"/>
        <v/>
      </c>
      <c r="AF39" s="1" t="str">
        <f t="shared" si="7"/>
        <v/>
      </c>
    </row>
    <row r="40" spans="6:32" x14ac:dyDescent="0.25">
      <c r="F40" t="str">
        <f t="shared" si="6"/>
        <v/>
      </c>
      <c r="H40" s="1" t="str">
        <f t="shared" si="4"/>
        <v/>
      </c>
      <c r="AE40" s="1" t="str">
        <f t="shared" si="7"/>
        <v/>
      </c>
      <c r="AF40" s="1" t="str">
        <f t="shared" si="7"/>
        <v/>
      </c>
    </row>
    <row r="41" spans="6:32" x14ac:dyDescent="0.25">
      <c r="F41" t="str">
        <f t="shared" si="6"/>
        <v/>
      </c>
      <c r="H41" s="1" t="str">
        <f t="shared" si="4"/>
        <v/>
      </c>
      <c r="AE41" s="1" t="str">
        <f t="shared" si="7"/>
        <v/>
      </c>
      <c r="AF41" s="1" t="str">
        <f t="shared" si="7"/>
        <v/>
      </c>
    </row>
    <row r="42" spans="6:32" x14ac:dyDescent="0.25">
      <c r="F42" t="str">
        <f t="shared" si="6"/>
        <v/>
      </c>
      <c r="H42" s="1" t="str">
        <f t="shared" si="4"/>
        <v/>
      </c>
      <c r="AE42" s="1" t="str">
        <f t="shared" si="7"/>
        <v/>
      </c>
      <c r="AF42" s="1" t="str">
        <f t="shared" si="7"/>
        <v/>
      </c>
    </row>
    <row r="43" spans="6:32" x14ac:dyDescent="0.25">
      <c r="F43" t="str">
        <f t="shared" si="6"/>
        <v/>
      </c>
      <c r="H43" s="1" t="str">
        <f t="shared" si="4"/>
        <v/>
      </c>
      <c r="AE43" s="1" t="str">
        <f t="shared" si="7"/>
        <v/>
      </c>
      <c r="AF43" s="1" t="str">
        <f t="shared" si="7"/>
        <v/>
      </c>
    </row>
    <row r="44" spans="6:32" x14ac:dyDescent="0.25">
      <c r="F44" t="str">
        <f t="shared" si="6"/>
        <v/>
      </c>
      <c r="H44" s="1" t="str">
        <f t="shared" si="4"/>
        <v/>
      </c>
      <c r="AE44" s="1" t="str">
        <f t="shared" si="7"/>
        <v/>
      </c>
      <c r="AF44" s="1" t="str">
        <f t="shared" si="7"/>
        <v/>
      </c>
    </row>
    <row r="45" spans="6:32" x14ac:dyDescent="0.25">
      <c r="F45" t="str">
        <f t="shared" si="6"/>
        <v/>
      </c>
      <c r="H45" s="1" t="str">
        <f t="shared" si="4"/>
        <v/>
      </c>
      <c r="AE45" s="1" t="str">
        <f t="shared" si="7"/>
        <v/>
      </c>
      <c r="AF45" s="1" t="str">
        <f t="shared" si="7"/>
        <v/>
      </c>
    </row>
    <row r="46" spans="6:32" x14ac:dyDescent="0.25">
      <c r="F46" t="str">
        <f t="shared" si="6"/>
        <v/>
      </c>
      <c r="H46" s="1" t="str">
        <f t="shared" si="4"/>
        <v/>
      </c>
      <c r="AE46" s="1" t="str">
        <f t="shared" si="7"/>
        <v/>
      </c>
      <c r="AF46" s="1" t="str">
        <f t="shared" si="7"/>
        <v/>
      </c>
    </row>
    <row r="47" spans="6:32" x14ac:dyDescent="0.25">
      <c r="F47" t="str">
        <f t="shared" si="6"/>
        <v/>
      </c>
      <c r="H47" s="1" t="str">
        <f t="shared" si="4"/>
        <v/>
      </c>
      <c r="AE47" s="1" t="str">
        <f t="shared" si="7"/>
        <v/>
      </c>
      <c r="AF47" s="1" t="str">
        <f t="shared" si="7"/>
        <v/>
      </c>
    </row>
    <row r="48" spans="6:32" x14ac:dyDescent="0.25">
      <c r="F48" t="str">
        <f t="shared" si="6"/>
        <v/>
      </c>
      <c r="H48" s="1" t="str">
        <f t="shared" si="4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6"/>
        <v/>
      </c>
      <c r="H49" s="1" t="str">
        <f t="shared" si="4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6"/>
        <v/>
      </c>
      <c r="H50" s="1" t="str">
        <f t="shared" si="4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6"/>
        <v/>
      </c>
      <c r="H51" s="1" t="str">
        <f t="shared" si="4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6"/>
        <v/>
      </c>
      <c r="H52" s="1" t="str">
        <f t="shared" si="4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6"/>
        <v/>
      </c>
      <c r="H53" s="1" t="str">
        <f t="shared" si="4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6"/>
        <v/>
      </c>
      <c r="H54" s="1" t="str">
        <f t="shared" si="4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5">
      <c r="F55" t="str">
        <f t="shared" si="6"/>
        <v/>
      </c>
      <c r="H55" s="1" t="str">
        <f t="shared" si="4"/>
        <v/>
      </c>
      <c r="AE55" s="1" t="str">
        <f t="shared" si="8"/>
        <v/>
      </c>
      <c r="AF55" s="1" t="str">
        <f t="shared" si="8"/>
        <v/>
      </c>
    </row>
    <row r="56" spans="6:32" x14ac:dyDescent="0.25">
      <c r="F56" t="str">
        <f t="shared" si="6"/>
        <v/>
      </c>
      <c r="H56" s="1" t="str">
        <f t="shared" si="4"/>
        <v/>
      </c>
      <c r="AE56" s="1" t="str">
        <f t="shared" si="8"/>
        <v/>
      </c>
      <c r="AF56" s="1" t="str">
        <f t="shared" si="8"/>
        <v/>
      </c>
    </row>
    <row r="57" spans="6:32" x14ac:dyDescent="0.25">
      <c r="F57" t="str">
        <f t="shared" si="6"/>
        <v/>
      </c>
      <c r="H57" s="1" t="str">
        <f t="shared" si="4"/>
        <v/>
      </c>
      <c r="AE57" s="1" t="str">
        <f t="shared" si="8"/>
        <v/>
      </c>
      <c r="AF57" s="1" t="str">
        <f t="shared" si="8"/>
        <v/>
      </c>
    </row>
    <row r="58" spans="6:32" x14ac:dyDescent="0.25">
      <c r="F58" t="str">
        <f t="shared" si="6"/>
        <v/>
      </c>
      <c r="H58" s="1" t="str">
        <f t="shared" si="4"/>
        <v/>
      </c>
      <c r="AE58" s="1" t="str">
        <f t="shared" si="8"/>
        <v/>
      </c>
      <c r="AF58" s="1" t="str">
        <f t="shared" si="8"/>
        <v/>
      </c>
    </row>
    <row r="59" spans="6:32" x14ac:dyDescent="0.25">
      <c r="F59" t="str">
        <f t="shared" si="6"/>
        <v/>
      </c>
      <c r="H59" s="1" t="str">
        <f t="shared" si="4"/>
        <v/>
      </c>
      <c r="AE59" s="1" t="str">
        <f t="shared" si="8"/>
        <v/>
      </c>
      <c r="AF59" s="1" t="str">
        <f t="shared" si="8"/>
        <v/>
      </c>
    </row>
    <row r="60" spans="6:32" x14ac:dyDescent="0.25">
      <c r="F60" t="str">
        <f t="shared" si="6"/>
        <v/>
      </c>
      <c r="H60" s="1" t="str">
        <f t="shared" si="4"/>
        <v/>
      </c>
      <c r="AE60" s="1" t="str">
        <f t="shared" si="8"/>
        <v/>
      </c>
      <c r="AF60" s="1" t="str">
        <f t="shared" si="8"/>
        <v/>
      </c>
    </row>
    <row r="61" spans="6:32" x14ac:dyDescent="0.25">
      <c r="F61" t="str">
        <f t="shared" si="6"/>
        <v/>
      </c>
      <c r="H61" s="1" t="str">
        <f t="shared" si="4"/>
        <v/>
      </c>
      <c r="AE61" s="1" t="str">
        <f t="shared" si="8"/>
        <v/>
      </c>
      <c r="AF61" s="1" t="str">
        <f t="shared" si="8"/>
        <v/>
      </c>
    </row>
    <row r="62" spans="6:32" x14ac:dyDescent="0.25">
      <c r="F62" t="str">
        <f t="shared" si="6"/>
        <v/>
      </c>
      <c r="H62" s="1" t="str">
        <f t="shared" si="4"/>
        <v/>
      </c>
      <c r="I62" s="1" t="str">
        <f t="shared" si="4"/>
        <v/>
      </c>
      <c r="J62" s="1" t="str">
        <f t="shared" si="4"/>
        <v/>
      </c>
      <c r="K62" s="1" t="str">
        <f t="shared" si="4"/>
        <v/>
      </c>
      <c r="L62" s="1" t="str">
        <f t="shared" si="4"/>
        <v/>
      </c>
      <c r="M62" s="1" t="str">
        <f t="shared" si="4"/>
        <v/>
      </c>
      <c r="N62" s="1" t="str">
        <f t="shared" si="4"/>
        <v/>
      </c>
      <c r="O62" s="1" t="str">
        <f t="shared" si="4"/>
        <v/>
      </c>
      <c r="P62" s="1" t="str">
        <f t="shared" si="4"/>
        <v/>
      </c>
      <c r="Q62" s="1" t="str">
        <f t="shared" si="4"/>
        <v/>
      </c>
      <c r="R62" s="1" t="str">
        <f t="shared" si="4"/>
        <v/>
      </c>
      <c r="S62" s="1" t="str">
        <f t="shared" si="4"/>
        <v/>
      </c>
      <c r="T62" s="1" t="str">
        <f t="shared" si="4"/>
        <v/>
      </c>
      <c r="U62" s="1" t="str">
        <f t="shared" si="4"/>
        <v/>
      </c>
      <c r="V62" s="1" t="str">
        <f t="shared" si="4"/>
        <v/>
      </c>
      <c r="W62" s="1" t="str">
        <f t="shared" si="4"/>
        <v/>
      </c>
      <c r="X62" s="1" t="str">
        <f t="shared" ref="X62:AD63" si="9">IF(OR(X$21="",$G62=""),"",W62)</f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5">
      <c r="F63" t="str">
        <f t="shared" si="6"/>
        <v/>
      </c>
      <c r="H63" s="1" t="str">
        <f t="shared" si="4"/>
        <v/>
      </c>
      <c r="I63" s="1" t="str">
        <f t="shared" si="4"/>
        <v/>
      </c>
      <c r="J63" s="1" t="str">
        <f t="shared" si="4"/>
        <v/>
      </c>
      <c r="K63" s="1" t="str">
        <f t="shared" si="4"/>
        <v/>
      </c>
      <c r="L63" s="1" t="str">
        <f t="shared" si="4"/>
        <v/>
      </c>
      <c r="M63" s="1" t="str">
        <f t="shared" si="4"/>
        <v/>
      </c>
      <c r="N63" s="1" t="str">
        <f t="shared" si="4"/>
        <v/>
      </c>
      <c r="O63" s="1" t="str">
        <f t="shared" si="4"/>
        <v/>
      </c>
      <c r="P63" s="1" t="str">
        <f t="shared" si="4"/>
        <v/>
      </c>
      <c r="Q63" s="1" t="str">
        <f t="shared" si="4"/>
        <v/>
      </c>
      <c r="R63" s="1" t="str">
        <f t="shared" si="4"/>
        <v/>
      </c>
      <c r="S63" s="1" t="str">
        <f t="shared" si="4"/>
        <v/>
      </c>
      <c r="T63" s="1" t="str">
        <f t="shared" si="4"/>
        <v/>
      </c>
      <c r="U63" s="1" t="str">
        <f t="shared" si="4"/>
        <v/>
      </c>
      <c r="V63" s="1" t="str">
        <f t="shared" si="4"/>
        <v/>
      </c>
      <c r="W63" s="1" t="str">
        <f t="shared" si="4"/>
        <v/>
      </c>
      <c r="X63" s="1" t="str">
        <f t="shared" si="9"/>
        <v/>
      </c>
      <c r="Y63" s="1" t="str">
        <f t="shared" si="9"/>
        <v/>
      </c>
      <c r="Z63" s="1" t="str">
        <f t="shared" si="9"/>
        <v/>
      </c>
      <c r="AA63" s="1" t="str">
        <f t="shared" si="9"/>
        <v/>
      </c>
      <c r="AB63" s="1" t="str">
        <f t="shared" si="9"/>
        <v/>
      </c>
      <c r="AC63" s="1" t="str">
        <f t="shared" si="9"/>
        <v/>
      </c>
      <c r="AD63" s="1" t="str">
        <f t="shared" si="9"/>
        <v/>
      </c>
      <c r="AE63" s="1" t="str">
        <f t="shared" si="8"/>
        <v/>
      </c>
      <c r="AF63" s="1" t="str">
        <f t="shared" si="8"/>
        <v/>
      </c>
    </row>
    <row r="64" spans="6:32" x14ac:dyDescent="0.25">
      <c r="F64" t="s">
        <v>7</v>
      </c>
      <c r="H64" s="1" t="str">
        <f t="shared" si="4"/>
        <v/>
      </c>
      <c r="AE64" s="1" t="str">
        <f t="shared" si="8"/>
        <v/>
      </c>
      <c r="AF64" s="1" t="str">
        <f t="shared" si="8"/>
        <v/>
      </c>
    </row>
    <row r="65" spans="2:32" x14ac:dyDescent="0.25">
      <c r="F65" t="s">
        <v>8</v>
      </c>
      <c r="H65" s="1" t="str">
        <f t="shared" si="4"/>
        <v/>
      </c>
      <c r="AE65" s="1" t="str">
        <f t="shared" si="8"/>
        <v/>
      </c>
      <c r="AF65" s="1" t="str">
        <f t="shared" si="8"/>
        <v/>
      </c>
    </row>
    <row r="66" spans="2:32" x14ac:dyDescent="0.25">
      <c r="F66" t="s">
        <v>9</v>
      </c>
      <c r="H66" s="1" t="str">
        <f t="shared" si="4"/>
        <v/>
      </c>
    </row>
    <row r="71" spans="2:32" s="1" customFormat="1" x14ac:dyDescent="0.25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11" priority="1" stopIfTrue="1">
      <formula>$F22="Done"</formula>
    </cfRule>
    <cfRule type="expression" dxfId="10" priority="2" stopIfTrue="1">
      <formula>$F22="Ongoing"</formula>
    </cfRule>
  </conditionalFormatting>
  <conditionalFormatting sqref="B22:AF65">
    <cfRule type="expression" dxfId="9" priority="3" stopIfTrue="1">
      <formula>$F22="Terminado"</formula>
    </cfRule>
    <cfRule type="expression" dxfId="8" priority="4" stopIfTrue="1">
      <formula>$F22="En Progreso"</formula>
    </cfRule>
  </conditionalFormatting>
  <dataValidations count="1">
    <dataValidation type="list" allowBlank="1" showInputMessage="1" sqref="F10:F15 F22:F71" xr:uid="{D9F62F9A-D092-4058-AEFA-280353C2DE64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AF71"/>
  <sheetViews>
    <sheetView workbookViewId="0">
      <selection activeCell="D16" sqref="D16"/>
    </sheetView>
  </sheetViews>
  <sheetFormatPr baseColWidth="10"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8" thickBot="1" x14ac:dyDescent="0.3"/>
    <row r="2" spans="2:32" ht="10.5" customHeight="1" x14ac:dyDescent="0.25">
      <c r="B2" s="16"/>
      <c r="C2" s="17"/>
      <c r="D2" s="18"/>
      <c r="E2" s="19"/>
      <c r="F2" s="19"/>
      <c r="G2" s="19"/>
      <c r="H2" s="19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8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32" ht="15" customHeight="1" x14ac:dyDescent="0.25">
      <c r="B3" s="21"/>
      <c r="C3" s="14" t="s">
        <v>22</v>
      </c>
      <c r="D3" s="42"/>
      <c r="E3" s="42"/>
      <c r="F3" s="42"/>
      <c r="G3" s="42"/>
      <c r="H3" s="42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3"/>
      <c r="W3" s="15"/>
      <c r="X3" s="15"/>
      <c r="Y3" s="15"/>
      <c r="Z3" s="15"/>
      <c r="AA3" s="15"/>
      <c r="AB3" s="15"/>
      <c r="AC3" s="15"/>
      <c r="AD3" s="15"/>
      <c r="AE3" s="15"/>
      <c r="AF3" s="22"/>
    </row>
    <row r="4" spans="2:32" ht="15" customHeight="1" x14ac:dyDescent="0.25">
      <c r="B4" s="21"/>
      <c r="C4" s="14" t="s">
        <v>23</v>
      </c>
      <c r="D4" s="42"/>
      <c r="E4" s="42"/>
      <c r="F4" s="42"/>
      <c r="G4" s="42"/>
      <c r="H4" s="42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3"/>
      <c r="W4" s="15"/>
      <c r="X4" s="15"/>
      <c r="Y4" s="15"/>
      <c r="Z4" s="15"/>
      <c r="AA4" s="15"/>
      <c r="AB4" s="15"/>
      <c r="AC4" s="15"/>
      <c r="AD4" s="15"/>
      <c r="AE4" s="15"/>
      <c r="AF4" s="22"/>
    </row>
    <row r="5" spans="2:32" ht="15" customHeight="1" x14ac:dyDescent="0.25">
      <c r="B5" s="21"/>
      <c r="C5" s="14" t="s">
        <v>24</v>
      </c>
      <c r="D5" s="42"/>
      <c r="E5" s="42"/>
      <c r="F5" s="42"/>
      <c r="G5" s="42"/>
      <c r="H5" s="42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3"/>
      <c r="W5" s="15"/>
      <c r="X5" s="15"/>
      <c r="Y5" s="15"/>
      <c r="Z5" s="15"/>
      <c r="AA5" s="15"/>
      <c r="AB5" s="15"/>
      <c r="AC5" s="15"/>
      <c r="AD5" s="15"/>
      <c r="AE5" s="15"/>
      <c r="AF5" s="22"/>
    </row>
    <row r="6" spans="2:32" ht="15" customHeight="1" thickBot="1" x14ac:dyDescent="0.3">
      <c r="B6" s="23"/>
      <c r="C6" s="24"/>
      <c r="D6" s="25"/>
      <c r="E6" s="25"/>
      <c r="F6" s="25"/>
      <c r="G6" s="25"/>
      <c r="H6" s="25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6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7" spans="2:32" s="33" customFormat="1" ht="10.5" customHeight="1" x14ac:dyDescent="0.25">
      <c r="B7" s="29"/>
      <c r="C7" s="30"/>
      <c r="D7" s="31"/>
      <c r="E7" s="31"/>
      <c r="F7" s="31"/>
      <c r="G7" s="31"/>
      <c r="H7" s="31"/>
      <c r="I7" s="29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29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spans="2:32" s="33" customFormat="1" ht="17.399999999999999" x14ac:dyDescent="0.3">
      <c r="C8" s="34">
        <v>1</v>
      </c>
      <c r="D8" s="3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2:32" x14ac:dyDescent="0.25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6" spans="2:32" x14ac:dyDescent="0.25">
      <c r="B16" s="5"/>
      <c r="C16" s="5" t="s">
        <v>11</v>
      </c>
      <c r="D16" s="10"/>
      <c r="E16" s="5"/>
      <c r="F16" s="3"/>
      <c r="G16" s="7" t="s">
        <v>19</v>
      </c>
      <c r="H16" s="7" t="s">
        <v>20</v>
      </c>
      <c r="I16" s="7"/>
      <c r="J16" s="7"/>
      <c r="K16" s="7"/>
      <c r="L16" s="7"/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2:32" x14ac:dyDescent="0.25">
      <c r="B17" s="5"/>
      <c r="C17" s="5" t="s">
        <v>12</v>
      </c>
      <c r="D17" s="10"/>
      <c r="E17" s="5" t="s">
        <v>13</v>
      </c>
      <c r="F17" s="5" t="s">
        <v>17</v>
      </c>
      <c r="G17" s="4">
        <f ca="1">SUM(OFFSET(G21,1,0,TaskRows,1))</f>
        <v>0</v>
      </c>
      <c r="H17" s="4">
        <f ca="1">IF(AND(SUM(OFFSET(H21,1,0,TaskRows,1))=0),0,SUM(OFFSET(H21,1,0,TaskRows,1)))</f>
        <v>0</v>
      </c>
      <c r="I17" s="4" t="str">
        <f t="shared" ref="I17:AF17" ca="1" si="0">IF(AND(SUM(OFFSET(I21,1,0,TaskRows,1))=0),"",SUM(OFFSET(I21,1,0,TaskRows,1)))</f>
        <v/>
      </c>
      <c r="J17" s="4" t="str">
        <f t="shared" ca="1" si="0"/>
        <v/>
      </c>
      <c r="K17" s="4" t="str">
        <f t="shared" ca="1" si="0"/>
        <v/>
      </c>
      <c r="L17" s="4" t="str">
        <f t="shared" ca="1" si="0"/>
        <v/>
      </c>
      <c r="M17" s="4" t="str">
        <f t="shared" ca="1" si="0"/>
        <v/>
      </c>
      <c r="N17" s="4" t="str">
        <f t="shared" ca="1" si="0"/>
        <v/>
      </c>
      <c r="O17" s="4" t="str">
        <f t="shared" ca="1" si="0"/>
        <v/>
      </c>
      <c r="P17" s="4" t="str">
        <f t="shared" ca="1" si="0"/>
        <v/>
      </c>
      <c r="Q17" s="4" t="str">
        <f t="shared" ca="1" si="0"/>
        <v/>
      </c>
      <c r="R17" s="4" t="str">
        <f t="shared" ca="1" si="0"/>
        <v/>
      </c>
      <c r="S17" s="4" t="str">
        <f t="shared" ca="1" si="0"/>
        <v/>
      </c>
      <c r="T17" s="4" t="str">
        <f t="shared" ca="1" si="0"/>
        <v/>
      </c>
      <c r="U17" s="4" t="str">
        <f t="shared" ca="1" si="0"/>
        <v/>
      </c>
      <c r="V17" s="4" t="str">
        <f t="shared" ca="1" si="0"/>
        <v/>
      </c>
      <c r="W17" s="4" t="str">
        <f t="shared" ca="1" si="0"/>
        <v/>
      </c>
      <c r="X17" s="4" t="str">
        <f t="shared" ca="1" si="0"/>
        <v/>
      </c>
      <c r="Y17" s="4" t="str">
        <f t="shared" ca="1" si="0"/>
        <v/>
      </c>
      <c r="Z17" s="4" t="str">
        <f t="shared" ca="1" si="0"/>
        <v/>
      </c>
      <c r="AA17" s="4" t="str">
        <f t="shared" ca="1" si="0"/>
        <v/>
      </c>
      <c r="AB17" s="4" t="str">
        <f t="shared" ca="1" si="0"/>
        <v/>
      </c>
      <c r="AC17" s="4" t="str">
        <f t="shared" ca="1" si="0"/>
        <v/>
      </c>
      <c r="AD17" s="4" t="str">
        <f t="shared" ca="1" si="0"/>
        <v/>
      </c>
      <c r="AE17" s="4" t="str">
        <f t="shared" ca="1" si="0"/>
        <v/>
      </c>
      <c r="AF17" s="4" t="str">
        <f t="shared" ca="1" si="0"/>
        <v/>
      </c>
    </row>
    <row r="18" spans="2:32" hidden="1" x14ac:dyDescent="0.25">
      <c r="C18" t="s">
        <v>1</v>
      </c>
      <c r="D18" s="1">
        <f>IF(COUNTA(C22:C249)=0,1,COUNTA(C22:C249))</f>
        <v>1</v>
      </c>
      <c r="E18" t="s">
        <v>2</v>
      </c>
      <c r="F18" s="1">
        <f ca="1">IF(COUNTIF(H17:AF17,"&gt;0")=0,1,COUNTIF(H17:AF17,"&gt;0"))</f>
        <v>1</v>
      </c>
      <c r="H18" s="1">
        <f ca="1">IF(H21="","",$G17-$G17/($D16-1)*(H21-1))</f>
        <v>0</v>
      </c>
      <c r="I18" s="1" t="str">
        <f t="shared" ref="I18:AF18" si="1">IF(I21="","",TotalEffort-TotalEffort/(ImplementationDays)*(I21-1))</f>
        <v/>
      </c>
      <c r="J18" s="1" t="str">
        <f t="shared" si="1"/>
        <v/>
      </c>
      <c r="K18" s="1" t="str">
        <f t="shared" si="1"/>
        <v/>
      </c>
      <c r="L18" s="1" t="str">
        <f t="shared" si="1"/>
        <v/>
      </c>
      <c r="M18" s="1" t="str">
        <f t="shared" si="1"/>
        <v/>
      </c>
      <c r="N18" s="1" t="str">
        <f t="shared" si="1"/>
        <v/>
      </c>
      <c r="O18" s="1" t="str">
        <f t="shared" si="1"/>
        <v/>
      </c>
      <c r="P18" s="1" t="str">
        <f t="shared" si="1"/>
        <v/>
      </c>
      <c r="Q18" s="1" t="str">
        <f t="shared" si="1"/>
        <v/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12" t="s">
        <v>5</v>
      </c>
      <c r="D19"/>
      <c r="E19" t="s">
        <v>3</v>
      </c>
      <c r="F19" s="1"/>
      <c r="H19" s="1" t="e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#REF!</v>
      </c>
      <c r="I19" s="1" t="e">
        <f t="shared" ca="1" si="2"/>
        <v>#REF!</v>
      </c>
      <c r="J19" s="1" t="e">
        <f t="shared" ca="1" si="2"/>
        <v>#REF!</v>
      </c>
      <c r="K19" s="1" t="e">
        <f t="shared" ca="1" si="2"/>
        <v>#REF!</v>
      </c>
      <c r="L19" s="1" t="e">
        <f t="shared" ca="1" si="2"/>
        <v>#REF!</v>
      </c>
      <c r="M19" s="1" t="e">
        <f t="shared" ca="1" si="2"/>
        <v>#REF!</v>
      </c>
      <c r="N19" s="1" t="e">
        <f t="shared" ca="1" si="2"/>
        <v>#REF!</v>
      </c>
      <c r="O19" s="1" t="e">
        <f t="shared" ca="1" si="2"/>
        <v>#REF!</v>
      </c>
      <c r="P19" s="1" t="e">
        <f t="shared" ca="1" si="2"/>
        <v>#REF!</v>
      </c>
      <c r="Q19" s="1" t="e">
        <f t="shared" ca="1" si="2"/>
        <v>#REF!</v>
      </c>
      <c r="R19" s="1" t="e">
        <f t="shared" ca="1" si="2"/>
        <v>#REF!</v>
      </c>
      <c r="S19" s="1" t="e">
        <f t="shared" ca="1" si="2"/>
        <v>#REF!</v>
      </c>
      <c r="T19" s="1" t="e">
        <f t="shared" ca="1" si="2"/>
        <v>#REF!</v>
      </c>
      <c r="U19" s="1" t="e">
        <f t="shared" ca="1" si="2"/>
        <v>#REF!</v>
      </c>
      <c r="V19" s="1" t="e">
        <f t="shared" ca="1" si="2"/>
        <v>#REF!</v>
      </c>
      <c r="W19" s="1" t="e">
        <f t="shared" ca="1" si="2"/>
        <v>#REF!</v>
      </c>
      <c r="X19" s="1" t="e">
        <f t="shared" ca="1" si="2"/>
        <v>#REF!</v>
      </c>
      <c r="Y19" s="1" t="e">
        <f t="shared" ca="1" si="2"/>
        <v>#REF!</v>
      </c>
      <c r="Z19" s="1" t="e">
        <f t="shared" ca="1" si="2"/>
        <v>#REF!</v>
      </c>
      <c r="AA19" s="1" t="e">
        <f t="shared" ca="1" si="2"/>
        <v>#REF!</v>
      </c>
      <c r="AB19" s="1" t="e">
        <f t="shared" ca="1" si="2"/>
        <v>#REF!</v>
      </c>
      <c r="AC19" s="1" t="e">
        <f t="shared" ca="1" si="2"/>
        <v>#REF!</v>
      </c>
      <c r="AD19" s="1" t="e">
        <f t="shared" ca="1" si="2"/>
        <v>#REF!</v>
      </c>
      <c r="AE19" s="1" t="e">
        <f t="shared" ca="1" si="2"/>
        <v>#REF!</v>
      </c>
      <c r="AF19" s="1" t="e">
        <f t="shared" ca="1" si="2"/>
        <v>#REF!</v>
      </c>
    </row>
    <row r="20" spans="2:32" hidden="1" x14ac:dyDescent="0.25">
      <c r="C20" s="12" t="s">
        <v>6</v>
      </c>
      <c r="D20"/>
      <c r="E20" t="s">
        <v>4</v>
      </c>
      <c r="F20" s="1">
        <f ca="1">IF(DoneDays&gt;D17,D17,DoneDays)</f>
        <v>0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5" t="s">
        <v>10</v>
      </c>
      <c r="C21" s="6" t="s">
        <v>14</v>
      </c>
      <c r="D21" s="6" t="s">
        <v>15</v>
      </c>
      <c r="E21" s="6" t="s">
        <v>16</v>
      </c>
      <c r="F21" s="6" t="s">
        <v>18</v>
      </c>
      <c r="G21" s="6" t="s">
        <v>0</v>
      </c>
      <c r="H21" s="6">
        <v>1</v>
      </c>
      <c r="I21" s="6" t="str">
        <f t="shared" ref="I21:AF21" si="3">IF($D$16&gt;H21,H21+1,"")</f>
        <v/>
      </c>
      <c r="J21" s="6" t="str">
        <f t="shared" si="3"/>
        <v/>
      </c>
      <c r="K21" s="6" t="str">
        <f t="shared" si="3"/>
        <v/>
      </c>
      <c r="L21" s="6" t="str">
        <f t="shared" si="3"/>
        <v/>
      </c>
      <c r="M21" s="6" t="str">
        <f t="shared" si="3"/>
        <v/>
      </c>
      <c r="N21" s="6" t="str">
        <f t="shared" si="3"/>
        <v/>
      </c>
      <c r="O21" s="6" t="str">
        <f t="shared" si="3"/>
        <v/>
      </c>
      <c r="P21" s="6" t="str">
        <f t="shared" si="3"/>
        <v/>
      </c>
      <c r="Q21" s="6" t="str">
        <f t="shared" si="3"/>
        <v/>
      </c>
      <c r="R21" s="6" t="str">
        <f t="shared" si="3"/>
        <v/>
      </c>
      <c r="S21" s="6" t="str">
        <f t="shared" si="3"/>
        <v/>
      </c>
      <c r="T21" s="6" t="str">
        <f t="shared" si="3"/>
        <v/>
      </c>
      <c r="U21" s="6" t="str">
        <f t="shared" si="3"/>
        <v/>
      </c>
      <c r="V21" s="6" t="str">
        <f t="shared" si="3"/>
        <v/>
      </c>
      <c r="W21" s="6" t="str">
        <f t="shared" si="3"/>
        <v/>
      </c>
      <c r="X21" s="6" t="str">
        <f t="shared" si="3"/>
        <v/>
      </c>
      <c r="Y21" s="6" t="str">
        <f t="shared" si="3"/>
        <v/>
      </c>
      <c r="Z21" s="6" t="str">
        <f t="shared" si="3"/>
        <v/>
      </c>
      <c r="AA21" s="6" t="str">
        <f t="shared" si="3"/>
        <v/>
      </c>
      <c r="AB21" s="6" t="str">
        <f t="shared" si="3"/>
        <v/>
      </c>
      <c r="AC21" s="6" t="str">
        <f t="shared" si="3"/>
        <v/>
      </c>
      <c r="AD21" s="6" t="str">
        <f t="shared" si="3"/>
        <v/>
      </c>
      <c r="AE21" s="6" t="str">
        <f t="shared" si="3"/>
        <v/>
      </c>
      <c r="AF21" s="6" t="str">
        <f t="shared" si="3"/>
        <v/>
      </c>
    </row>
    <row r="22" spans="2:32" x14ac:dyDescent="0.25">
      <c r="F22" t="str">
        <f t="shared" ref="F22:F63" si="4">IF(C22&lt;&gt;"","Planned","")</f>
        <v/>
      </c>
      <c r="H22" s="1" t="str">
        <f t="shared" ref="H22:H66" si="5">IF(OR(H$21="",$G22=""),"",G22)</f>
        <v/>
      </c>
      <c r="AE22" s="1" t="str">
        <f t="shared" ref="AE22:AF37" si="6">IF(OR(AE$21="",$G22=""),"",AD22)</f>
        <v/>
      </c>
      <c r="AF22" s="1" t="str">
        <f t="shared" si="6"/>
        <v/>
      </c>
    </row>
    <row r="23" spans="2:32" x14ac:dyDescent="0.25">
      <c r="F23" t="str">
        <f t="shared" si="4"/>
        <v/>
      </c>
      <c r="H23" s="1" t="str">
        <f t="shared" si="5"/>
        <v/>
      </c>
      <c r="AE23" s="1" t="str">
        <f t="shared" si="6"/>
        <v/>
      </c>
      <c r="AF23" s="1" t="str">
        <f t="shared" si="6"/>
        <v/>
      </c>
    </row>
    <row r="24" spans="2:32" x14ac:dyDescent="0.25">
      <c r="F24" t="str">
        <f t="shared" si="4"/>
        <v/>
      </c>
      <c r="H24" s="1" t="str">
        <f t="shared" si="5"/>
        <v/>
      </c>
      <c r="AE24" s="1" t="str">
        <f t="shared" si="6"/>
        <v/>
      </c>
      <c r="AF24" s="1" t="str">
        <f t="shared" si="6"/>
        <v/>
      </c>
    </row>
    <row r="25" spans="2:32" x14ac:dyDescent="0.25">
      <c r="F25" t="str">
        <f t="shared" si="4"/>
        <v/>
      </c>
      <c r="H25" s="1" t="str">
        <f t="shared" si="5"/>
        <v/>
      </c>
      <c r="AE25" s="1" t="str">
        <f t="shared" si="6"/>
        <v/>
      </c>
      <c r="AF25" s="1" t="str">
        <f t="shared" si="6"/>
        <v/>
      </c>
    </row>
    <row r="26" spans="2:32" x14ac:dyDescent="0.25">
      <c r="F26" t="str">
        <f t="shared" si="4"/>
        <v/>
      </c>
      <c r="H26" s="1" t="str">
        <f t="shared" si="5"/>
        <v/>
      </c>
      <c r="AE26" s="1" t="str">
        <f t="shared" si="6"/>
        <v/>
      </c>
      <c r="AF26" s="1" t="str">
        <f t="shared" si="6"/>
        <v/>
      </c>
    </row>
    <row r="27" spans="2:32" x14ac:dyDescent="0.25">
      <c r="F27" t="str">
        <f t="shared" si="4"/>
        <v/>
      </c>
      <c r="H27" s="1" t="str">
        <f t="shared" si="5"/>
        <v/>
      </c>
      <c r="AE27" s="1" t="str">
        <f t="shared" si="6"/>
        <v/>
      </c>
      <c r="AF27" s="1" t="str">
        <f t="shared" si="6"/>
        <v/>
      </c>
    </row>
    <row r="28" spans="2:32" x14ac:dyDescent="0.25">
      <c r="F28" t="str">
        <f t="shared" si="4"/>
        <v/>
      </c>
      <c r="H28" s="1" t="str">
        <f t="shared" si="5"/>
        <v/>
      </c>
      <c r="AE28" s="1" t="str">
        <f t="shared" si="6"/>
        <v/>
      </c>
      <c r="AF28" s="1" t="str">
        <f t="shared" si="6"/>
        <v/>
      </c>
    </row>
    <row r="29" spans="2:32" x14ac:dyDescent="0.25">
      <c r="F29" t="str">
        <f t="shared" si="4"/>
        <v/>
      </c>
      <c r="H29" s="1" t="str">
        <f t="shared" si="5"/>
        <v/>
      </c>
      <c r="AE29" s="1" t="str">
        <f t="shared" si="6"/>
        <v/>
      </c>
      <c r="AF29" s="1" t="str">
        <f t="shared" si="6"/>
        <v/>
      </c>
    </row>
    <row r="30" spans="2:32" x14ac:dyDescent="0.25">
      <c r="F30" t="str">
        <f t="shared" si="4"/>
        <v/>
      </c>
      <c r="H30" s="1" t="str">
        <f t="shared" si="5"/>
        <v/>
      </c>
      <c r="AE30" s="1" t="str">
        <f t="shared" si="6"/>
        <v/>
      </c>
      <c r="AF30" s="1" t="str">
        <f t="shared" si="6"/>
        <v/>
      </c>
    </row>
    <row r="31" spans="2:32" x14ac:dyDescent="0.25">
      <c r="F31" t="str">
        <f t="shared" si="4"/>
        <v/>
      </c>
      <c r="H31" s="1" t="str">
        <f t="shared" si="5"/>
        <v/>
      </c>
      <c r="AE31" s="1" t="str">
        <f t="shared" si="6"/>
        <v/>
      </c>
      <c r="AF31" s="1" t="str">
        <f t="shared" si="6"/>
        <v/>
      </c>
    </row>
    <row r="32" spans="2:32" x14ac:dyDescent="0.25">
      <c r="F32" t="str">
        <f t="shared" si="4"/>
        <v/>
      </c>
      <c r="H32" s="1" t="str">
        <f t="shared" si="5"/>
        <v/>
      </c>
      <c r="AE32" s="1" t="str">
        <f t="shared" si="6"/>
        <v/>
      </c>
      <c r="AF32" s="1" t="str">
        <f t="shared" si="6"/>
        <v/>
      </c>
    </row>
    <row r="33" spans="6:32" x14ac:dyDescent="0.25">
      <c r="F33" t="str">
        <f t="shared" si="4"/>
        <v/>
      </c>
      <c r="H33" s="1" t="str">
        <f t="shared" si="5"/>
        <v/>
      </c>
      <c r="AE33" s="1" t="str">
        <f t="shared" si="6"/>
        <v/>
      </c>
      <c r="AF33" s="1" t="str">
        <f t="shared" si="6"/>
        <v/>
      </c>
    </row>
    <row r="34" spans="6:32" x14ac:dyDescent="0.25">
      <c r="F34" t="str">
        <f t="shared" si="4"/>
        <v/>
      </c>
      <c r="H34" s="1" t="str">
        <f t="shared" si="5"/>
        <v/>
      </c>
      <c r="AE34" s="1" t="str">
        <f t="shared" si="6"/>
        <v/>
      </c>
      <c r="AF34" s="1" t="str">
        <f t="shared" si="6"/>
        <v/>
      </c>
    </row>
    <row r="35" spans="6:32" x14ac:dyDescent="0.25">
      <c r="F35" t="str">
        <f t="shared" si="4"/>
        <v/>
      </c>
      <c r="H35" s="1" t="str">
        <f t="shared" si="5"/>
        <v/>
      </c>
      <c r="AE35" s="1" t="str">
        <f t="shared" si="6"/>
        <v/>
      </c>
      <c r="AF35" s="1" t="str">
        <f t="shared" si="6"/>
        <v/>
      </c>
    </row>
    <row r="36" spans="6:32" x14ac:dyDescent="0.25">
      <c r="F36" t="str">
        <f t="shared" si="4"/>
        <v/>
      </c>
      <c r="H36" s="1" t="str">
        <f t="shared" si="5"/>
        <v/>
      </c>
      <c r="AE36" s="1" t="str">
        <f t="shared" si="6"/>
        <v/>
      </c>
      <c r="AF36" s="1" t="str">
        <f t="shared" si="6"/>
        <v/>
      </c>
    </row>
    <row r="37" spans="6:32" x14ac:dyDescent="0.25">
      <c r="F37" t="str">
        <f t="shared" si="4"/>
        <v/>
      </c>
      <c r="H37" s="1" t="str">
        <f t="shared" si="5"/>
        <v/>
      </c>
      <c r="AE37" s="1" t="str">
        <f t="shared" si="6"/>
        <v/>
      </c>
      <c r="AF37" s="1" t="str">
        <f t="shared" si="6"/>
        <v/>
      </c>
    </row>
    <row r="38" spans="6:32" x14ac:dyDescent="0.25">
      <c r="F38" t="str">
        <f t="shared" si="4"/>
        <v/>
      </c>
      <c r="H38" s="1" t="str">
        <f t="shared" si="5"/>
        <v/>
      </c>
      <c r="AE38" s="1" t="str">
        <f t="shared" ref="AE38:AF53" si="7">IF(OR(AE$21="",$G38=""),"",AD38)</f>
        <v/>
      </c>
      <c r="AF38" s="1" t="str">
        <f t="shared" si="7"/>
        <v/>
      </c>
    </row>
    <row r="39" spans="6:32" x14ac:dyDescent="0.25">
      <c r="F39" t="str">
        <f t="shared" si="4"/>
        <v/>
      </c>
      <c r="H39" s="1" t="str">
        <f t="shared" si="5"/>
        <v/>
      </c>
      <c r="AE39" s="1" t="str">
        <f t="shared" si="7"/>
        <v/>
      </c>
      <c r="AF39" s="1" t="str">
        <f t="shared" si="7"/>
        <v/>
      </c>
    </row>
    <row r="40" spans="6:32" x14ac:dyDescent="0.25">
      <c r="F40" t="str">
        <f t="shared" si="4"/>
        <v/>
      </c>
      <c r="H40" s="1" t="str">
        <f t="shared" si="5"/>
        <v/>
      </c>
      <c r="AE40" s="1" t="str">
        <f t="shared" si="7"/>
        <v/>
      </c>
      <c r="AF40" s="1" t="str">
        <f t="shared" si="7"/>
        <v/>
      </c>
    </row>
    <row r="41" spans="6:32" x14ac:dyDescent="0.25">
      <c r="F41" t="str">
        <f t="shared" si="4"/>
        <v/>
      </c>
      <c r="H41" s="1" t="str">
        <f t="shared" si="5"/>
        <v/>
      </c>
      <c r="AE41" s="1" t="str">
        <f t="shared" si="7"/>
        <v/>
      </c>
      <c r="AF41" s="1" t="str">
        <f t="shared" si="7"/>
        <v/>
      </c>
    </row>
    <row r="42" spans="6:32" x14ac:dyDescent="0.25">
      <c r="F42" t="str">
        <f t="shared" si="4"/>
        <v/>
      </c>
      <c r="H42" s="1" t="str">
        <f t="shared" si="5"/>
        <v/>
      </c>
      <c r="AE42" s="1" t="str">
        <f t="shared" si="7"/>
        <v/>
      </c>
      <c r="AF42" s="1" t="str">
        <f t="shared" si="7"/>
        <v/>
      </c>
    </row>
    <row r="43" spans="6:32" x14ac:dyDescent="0.25">
      <c r="F43" t="str">
        <f t="shared" si="4"/>
        <v/>
      </c>
      <c r="H43" s="1" t="str">
        <f t="shared" si="5"/>
        <v/>
      </c>
      <c r="AE43" s="1" t="str">
        <f t="shared" si="7"/>
        <v/>
      </c>
      <c r="AF43" s="1" t="str">
        <f t="shared" si="7"/>
        <v/>
      </c>
    </row>
    <row r="44" spans="6:32" x14ac:dyDescent="0.25">
      <c r="F44" t="str">
        <f t="shared" si="4"/>
        <v/>
      </c>
      <c r="H44" s="1" t="str">
        <f t="shared" si="5"/>
        <v/>
      </c>
      <c r="AE44" s="1" t="str">
        <f t="shared" si="7"/>
        <v/>
      </c>
      <c r="AF44" s="1" t="str">
        <f t="shared" si="7"/>
        <v/>
      </c>
    </row>
    <row r="45" spans="6:32" x14ac:dyDescent="0.25">
      <c r="F45" t="str">
        <f t="shared" si="4"/>
        <v/>
      </c>
      <c r="H45" s="1" t="str">
        <f t="shared" si="5"/>
        <v/>
      </c>
      <c r="AE45" s="1" t="str">
        <f t="shared" si="7"/>
        <v/>
      </c>
      <c r="AF45" s="1" t="str">
        <f t="shared" si="7"/>
        <v/>
      </c>
    </row>
    <row r="46" spans="6:32" x14ac:dyDescent="0.25">
      <c r="F46" t="str">
        <f t="shared" si="4"/>
        <v/>
      </c>
      <c r="H46" s="1" t="str">
        <f t="shared" si="5"/>
        <v/>
      </c>
      <c r="AE46" s="1" t="str">
        <f t="shared" si="7"/>
        <v/>
      </c>
      <c r="AF46" s="1" t="str">
        <f t="shared" si="7"/>
        <v/>
      </c>
    </row>
    <row r="47" spans="6:32" x14ac:dyDescent="0.25">
      <c r="F47" t="str">
        <f t="shared" si="4"/>
        <v/>
      </c>
      <c r="H47" s="1" t="str">
        <f t="shared" si="5"/>
        <v/>
      </c>
      <c r="AE47" s="1" t="str">
        <f t="shared" si="7"/>
        <v/>
      </c>
      <c r="AF47" s="1" t="str">
        <f t="shared" si="7"/>
        <v/>
      </c>
    </row>
    <row r="48" spans="6:32" x14ac:dyDescent="0.25">
      <c r="F48" t="str">
        <f t="shared" si="4"/>
        <v/>
      </c>
      <c r="H48" s="1" t="str">
        <f t="shared" si="5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4"/>
        <v/>
      </c>
      <c r="H49" s="1" t="str">
        <f t="shared" si="5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4"/>
        <v/>
      </c>
      <c r="H50" s="1" t="str">
        <f t="shared" si="5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4"/>
        <v/>
      </c>
      <c r="H51" s="1" t="str">
        <f t="shared" si="5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4"/>
        <v/>
      </c>
      <c r="H52" s="1" t="str">
        <f t="shared" si="5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4"/>
        <v/>
      </c>
      <c r="H53" s="1" t="str">
        <f t="shared" si="5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4"/>
        <v/>
      </c>
      <c r="H54" s="1" t="str">
        <f t="shared" si="5"/>
        <v/>
      </c>
      <c r="AE54" s="1" t="str">
        <f t="shared" ref="AE54:AF65" si="8">IF(OR(AE$21="",$G54=""),"",AD54)</f>
        <v/>
      </c>
      <c r="AF54" s="1" t="str">
        <f t="shared" si="8"/>
        <v/>
      </c>
    </row>
    <row r="55" spans="6:32" x14ac:dyDescent="0.25">
      <c r="F55" t="str">
        <f t="shared" si="4"/>
        <v/>
      </c>
      <c r="H55" s="1" t="str">
        <f t="shared" si="5"/>
        <v/>
      </c>
      <c r="AE55" s="1" t="str">
        <f t="shared" si="8"/>
        <v/>
      </c>
      <c r="AF55" s="1" t="str">
        <f t="shared" si="8"/>
        <v/>
      </c>
    </row>
    <row r="56" spans="6:32" x14ac:dyDescent="0.25">
      <c r="F56" t="str">
        <f t="shared" si="4"/>
        <v/>
      </c>
      <c r="H56" s="1" t="str">
        <f t="shared" si="5"/>
        <v/>
      </c>
      <c r="AE56" s="1" t="str">
        <f t="shared" si="8"/>
        <v/>
      </c>
      <c r="AF56" s="1" t="str">
        <f t="shared" si="8"/>
        <v/>
      </c>
    </row>
    <row r="57" spans="6:32" x14ac:dyDescent="0.25">
      <c r="F57" t="str">
        <f t="shared" si="4"/>
        <v/>
      </c>
      <c r="H57" s="1" t="str">
        <f t="shared" si="5"/>
        <v/>
      </c>
      <c r="AE57" s="1" t="str">
        <f t="shared" si="8"/>
        <v/>
      </c>
      <c r="AF57" s="1" t="str">
        <f t="shared" si="8"/>
        <v/>
      </c>
    </row>
    <row r="58" spans="6:32" x14ac:dyDescent="0.25">
      <c r="F58" t="str">
        <f t="shared" si="4"/>
        <v/>
      </c>
      <c r="H58" s="1" t="str">
        <f t="shared" si="5"/>
        <v/>
      </c>
      <c r="AE58" s="1" t="str">
        <f t="shared" si="8"/>
        <v/>
      </c>
      <c r="AF58" s="1" t="str">
        <f t="shared" si="8"/>
        <v/>
      </c>
    </row>
    <row r="59" spans="6:32" x14ac:dyDescent="0.25">
      <c r="F59" t="str">
        <f t="shared" si="4"/>
        <v/>
      </c>
      <c r="H59" s="1" t="str">
        <f t="shared" si="5"/>
        <v/>
      </c>
      <c r="AE59" s="1" t="str">
        <f t="shared" si="8"/>
        <v/>
      </c>
      <c r="AF59" s="1" t="str">
        <f t="shared" si="8"/>
        <v/>
      </c>
    </row>
    <row r="60" spans="6:32" x14ac:dyDescent="0.25">
      <c r="F60" t="str">
        <f t="shared" si="4"/>
        <v/>
      </c>
      <c r="H60" s="1" t="str">
        <f t="shared" si="5"/>
        <v/>
      </c>
      <c r="AE60" s="1" t="str">
        <f t="shared" si="8"/>
        <v/>
      </c>
      <c r="AF60" s="1" t="str">
        <f t="shared" si="8"/>
        <v/>
      </c>
    </row>
    <row r="61" spans="6:32" x14ac:dyDescent="0.25">
      <c r="F61" t="str">
        <f t="shared" si="4"/>
        <v/>
      </c>
      <c r="H61" s="1" t="str">
        <f t="shared" si="5"/>
        <v/>
      </c>
      <c r="AE61" s="1" t="str">
        <f t="shared" si="8"/>
        <v/>
      </c>
      <c r="AF61" s="1" t="str">
        <f t="shared" si="8"/>
        <v/>
      </c>
    </row>
    <row r="62" spans="6:32" x14ac:dyDescent="0.25">
      <c r="F62" t="str">
        <f t="shared" si="4"/>
        <v/>
      </c>
      <c r="H62" s="1" t="str">
        <f t="shared" si="5"/>
        <v/>
      </c>
      <c r="I62" s="1" t="str">
        <f t="shared" ref="I62:AD62" si="9">IF(OR(I$21="",$G62=""),"",H62)</f>
        <v/>
      </c>
      <c r="J62" s="1" t="str">
        <f t="shared" si="9"/>
        <v/>
      </c>
      <c r="K62" s="1" t="str">
        <f t="shared" si="9"/>
        <v/>
      </c>
      <c r="L62" s="1" t="str">
        <f t="shared" si="9"/>
        <v/>
      </c>
      <c r="M62" s="1" t="str">
        <f t="shared" si="9"/>
        <v/>
      </c>
      <c r="N62" s="1" t="str">
        <f t="shared" si="9"/>
        <v/>
      </c>
      <c r="O62" s="1" t="str">
        <f t="shared" si="9"/>
        <v/>
      </c>
      <c r="P62" s="1" t="str">
        <f t="shared" si="9"/>
        <v/>
      </c>
      <c r="Q62" s="1" t="str">
        <f t="shared" si="9"/>
        <v/>
      </c>
      <c r="R62" s="1" t="str">
        <f t="shared" si="9"/>
        <v/>
      </c>
      <c r="S62" s="1" t="str">
        <f t="shared" si="9"/>
        <v/>
      </c>
      <c r="T62" s="1" t="str">
        <f t="shared" si="9"/>
        <v/>
      </c>
      <c r="U62" s="1" t="str">
        <f t="shared" si="9"/>
        <v/>
      </c>
      <c r="V62" s="1" t="str">
        <f t="shared" si="9"/>
        <v/>
      </c>
      <c r="W62" s="1" t="str">
        <f t="shared" si="9"/>
        <v/>
      </c>
      <c r="X62" s="1" t="str">
        <f t="shared" si="9"/>
        <v/>
      </c>
      <c r="Y62" s="1" t="str">
        <f t="shared" si="9"/>
        <v/>
      </c>
      <c r="Z62" s="1" t="str">
        <f t="shared" si="9"/>
        <v/>
      </c>
      <c r="AA62" s="1" t="str">
        <f t="shared" si="9"/>
        <v/>
      </c>
      <c r="AB62" s="1" t="str">
        <f t="shared" si="9"/>
        <v/>
      </c>
      <c r="AC62" s="1" t="str">
        <f t="shared" si="9"/>
        <v/>
      </c>
      <c r="AD62" s="1" t="str">
        <f t="shared" si="9"/>
        <v/>
      </c>
      <c r="AE62" s="1" t="str">
        <f t="shared" si="8"/>
        <v/>
      </c>
      <c r="AF62" s="1" t="str">
        <f t="shared" si="8"/>
        <v/>
      </c>
    </row>
    <row r="63" spans="6:32" x14ac:dyDescent="0.25">
      <c r="F63" t="str">
        <f t="shared" si="4"/>
        <v/>
      </c>
      <c r="H63" s="1" t="str">
        <f t="shared" si="5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8"/>
        <v/>
      </c>
      <c r="AF63" s="1" t="str">
        <f t="shared" si="8"/>
        <v/>
      </c>
    </row>
    <row r="64" spans="6:32" x14ac:dyDescent="0.25">
      <c r="F64" t="s">
        <v>7</v>
      </c>
      <c r="H64" s="1" t="str">
        <f t="shared" si="5"/>
        <v/>
      </c>
      <c r="AE64" s="1" t="str">
        <f t="shared" si="8"/>
        <v/>
      </c>
      <c r="AF64" s="1" t="str">
        <f t="shared" si="8"/>
        <v/>
      </c>
    </row>
    <row r="65" spans="2:32" x14ac:dyDescent="0.25">
      <c r="F65" t="s">
        <v>8</v>
      </c>
      <c r="H65" s="1" t="str">
        <f t="shared" si="5"/>
        <v/>
      </c>
      <c r="AE65" s="1" t="str">
        <f t="shared" si="8"/>
        <v/>
      </c>
      <c r="AF65" s="1" t="str">
        <f t="shared" si="8"/>
        <v/>
      </c>
    </row>
    <row r="66" spans="2:32" x14ac:dyDescent="0.25">
      <c r="F66" t="s">
        <v>9</v>
      </c>
      <c r="H66" s="1" t="str">
        <f t="shared" si="5"/>
        <v/>
      </c>
    </row>
    <row r="71" spans="2:32" s="1" customFormat="1" x14ac:dyDescent="0.25">
      <c r="B71"/>
      <c r="C71"/>
      <c r="E71"/>
      <c r="F71" t="str">
        <f>IF(C71&lt;&gt;"","Planned","")</f>
        <v/>
      </c>
    </row>
  </sheetData>
  <mergeCells count="3">
    <mergeCell ref="D3:H3"/>
    <mergeCell ref="D4:H4"/>
    <mergeCell ref="D5:H5"/>
  </mergeCells>
  <conditionalFormatting sqref="C26:AF65 L22:AF25">
    <cfRule type="expression" dxfId="7" priority="1" stopIfTrue="1">
      <formula>$F22="Done"</formula>
    </cfRule>
    <cfRule type="expression" dxfId="6" priority="2" stopIfTrue="1">
      <formula>$F22="Ongoing"</formula>
    </cfRule>
  </conditionalFormatting>
  <conditionalFormatting sqref="B22:AF65">
    <cfRule type="expression" dxfId="5" priority="3" stopIfTrue="1">
      <formula>$F22="Terminado"</formula>
    </cfRule>
    <cfRule type="expression" dxfId="4" priority="4" stopIfTrue="1">
      <formula>$F22="En Progreso"</formula>
    </cfRule>
  </conditionalFormatting>
  <dataValidations disablePrompts="1" count="1">
    <dataValidation type="list" allowBlank="1" showInputMessage="1" sqref="F22:F71 F10:F15" xr:uid="{00000000-0002-0000-0200-000000000000}">
      <formula1>"Por Hacer,En Progreso,Terminado"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124E24CAF14D46B2DD609ACFD84C07" ma:contentTypeVersion="0" ma:contentTypeDescription="Crear nuevo documento." ma:contentTypeScope="" ma:versionID="de664effb0a23aec775b6884083f1507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d8ef9ce5e2f992f4a0d6f8aeafc38bc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002568-7AEC-4F01-8608-7227AF087B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E0F1F-D51E-4C07-A1AE-AA43A65D3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79A4C6-2860-45CA-BC84-501A5C3DA81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36031E8-9CA1-417E-B558-74DEFEC6B8F9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F6B976E-19D9-4A12-8B5E-B576F4080915}">
  <ds:schemaRefs>
    <ds:schemaRef ds:uri="http://purl.org/dc/elements/1.1/"/>
    <ds:schemaRef ds:uri="01eb4bd6-a8ff-4439-b7eb-fe0a650fbd8a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48</vt:i4>
      </vt:variant>
    </vt:vector>
  </HeadingPairs>
  <TitlesOfParts>
    <vt:vector size="54" baseType="lpstr">
      <vt:lpstr>Sprint 1</vt:lpstr>
      <vt:lpstr>Sprint 2</vt:lpstr>
      <vt:lpstr>Sprint 3</vt:lpstr>
      <vt:lpstr>Sprint 4</vt:lpstr>
      <vt:lpstr>Sprint 5</vt:lpstr>
      <vt:lpstr>Plantilla Sprint</vt:lpstr>
      <vt:lpstr>'Plantilla Sprint'!DoneDays</vt:lpstr>
      <vt:lpstr>'Sprint 1'!DoneDays</vt:lpstr>
      <vt:lpstr>'Sprint 2'!DoneDays</vt:lpstr>
      <vt:lpstr>'Sprint 3'!DoneDays</vt:lpstr>
      <vt:lpstr>'Sprint 4'!DoneDays</vt:lpstr>
      <vt:lpstr>'Sprint 5'!DoneDays</vt:lpstr>
      <vt:lpstr>'Plantilla Sprint'!ImplementationDays</vt:lpstr>
      <vt:lpstr>'Sprint 1'!ImplementationDays</vt:lpstr>
      <vt:lpstr>'Sprint 2'!ImplementationDays</vt:lpstr>
      <vt:lpstr>'Sprint 3'!ImplementationDays</vt:lpstr>
      <vt:lpstr>'Sprint 4'!ImplementationDays</vt:lpstr>
      <vt:lpstr>'Sprint 5'!ImplementationDays</vt:lpstr>
      <vt:lpstr>'Plantilla Sprint'!SprintTasks</vt:lpstr>
      <vt:lpstr>'Sprint 1'!SprintTasks</vt:lpstr>
      <vt:lpstr>'Sprint 2'!SprintTasks</vt:lpstr>
      <vt:lpstr>'Sprint 3'!SprintTasks</vt:lpstr>
      <vt:lpstr>'Sprint 4'!SprintTasks</vt:lpstr>
      <vt:lpstr>'Sprint 5'!SprintTasks</vt:lpstr>
      <vt:lpstr>'Plantilla Sprint'!TaskRows</vt:lpstr>
      <vt:lpstr>'Sprint 1'!TaskRows</vt:lpstr>
      <vt:lpstr>'Sprint 2'!TaskRows</vt:lpstr>
      <vt:lpstr>'Sprint 3'!TaskRows</vt:lpstr>
      <vt:lpstr>'Sprint 4'!TaskRows</vt:lpstr>
      <vt:lpstr>'Sprint 5'!TaskRows</vt:lpstr>
      <vt:lpstr>'Plantilla Sprint'!TaskStatus</vt:lpstr>
      <vt:lpstr>'Sprint 1'!TaskStatus</vt:lpstr>
      <vt:lpstr>'Sprint 2'!TaskStatus</vt:lpstr>
      <vt:lpstr>'Sprint 3'!TaskStatus</vt:lpstr>
      <vt:lpstr>'Sprint 4'!TaskStatus</vt:lpstr>
      <vt:lpstr>'Sprint 5'!TaskStatus</vt:lpstr>
      <vt:lpstr>'Plantilla Sprint'!TaskStoryID</vt:lpstr>
      <vt:lpstr>'Sprint 1'!TaskStoryID</vt:lpstr>
      <vt:lpstr>'Sprint 2'!TaskStoryID</vt:lpstr>
      <vt:lpstr>'Sprint 3'!TaskStoryID</vt:lpstr>
      <vt:lpstr>'Sprint 4'!TaskStoryID</vt:lpstr>
      <vt:lpstr>'Sprint 5'!TaskStoryID</vt:lpstr>
      <vt:lpstr>'Plantilla Sprint'!TotalEffort</vt:lpstr>
      <vt:lpstr>'Sprint 1'!TotalEffort</vt:lpstr>
      <vt:lpstr>'Sprint 2'!TotalEffort</vt:lpstr>
      <vt:lpstr>'Sprint 3'!TotalEffort</vt:lpstr>
      <vt:lpstr>'Sprint 4'!TotalEffort</vt:lpstr>
      <vt:lpstr>'Sprint 5'!TotalEffort</vt:lpstr>
      <vt:lpstr>'Plantilla Sprint'!TrendDays</vt:lpstr>
      <vt:lpstr>'Sprint 1'!TrendDays</vt:lpstr>
      <vt:lpstr>'Sprint 2'!TrendDays</vt:lpstr>
      <vt:lpstr>'Sprint 3'!TrendDays</vt:lpstr>
      <vt:lpstr>'Sprint 4'!TrendDays</vt:lpstr>
      <vt:lpstr>'Sprint 5'!TrendDays</vt:lpstr>
    </vt:vector>
  </TitlesOfParts>
  <Company>SysOpen Digia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&lt; Your name &gt;</dc:creator>
  <dc:description>Template versio 1.0 Approval</dc:description>
  <cp:lastModifiedBy>andreezaclop@gmail.com</cp:lastModifiedBy>
  <cp:revision>1</cp:revision>
  <cp:lastPrinted>2006-09-01T14:59:00Z</cp:lastPrinted>
  <dcterms:created xsi:type="dcterms:W3CDTF">1998-06-05T11:20:44Z</dcterms:created>
  <dcterms:modified xsi:type="dcterms:W3CDTF">2026-04-27T16:14:44Z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</Properties>
</file>